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684" firstSheet="1" activeTab="2"/>
  </bookViews>
  <sheets>
    <sheet name="基本資料" sheetId="2" state="hidden" r:id="rId1"/>
    <sheet name="學員聯絡資訊" sheetId="3" r:id="rId2"/>
    <sheet name="115班表(全)" sheetId="1" r:id="rId3"/>
    <sheet name="學員-學程" sheetId="24" r:id="rId4"/>
    <sheet name="內科 " sheetId="20" r:id="rId5"/>
    <sheet name="外科" sheetId="22" r:id="rId6"/>
    <sheet name="婦兒急" sheetId="19" r:id="rId7"/>
    <sheet name="選修科" sheetId="23" r:id="rId8"/>
    <sheet name="PGY2老醫" sheetId="10" r:id="rId9"/>
    <sheet name="11508預班聯繫方式" sheetId="25" r:id="rId10"/>
    <sheet name="各醫療科助理聯絡資訊" sheetId="11" r:id="rId11"/>
    <sheet name="各社區聯絡人資訊" sheetId="13" r:id="rId12"/>
  </sheets>
  <definedNames>
    <definedName name="_xlnm._FilterDatabase" localSheetId="9" hidden="1">'11508預班聯繫方式'!$A$1:$J$33</definedName>
    <definedName name="_xlnm._FilterDatabase" localSheetId="2" hidden="1">'115班表(全)'!$A$107:$BJ$143</definedName>
    <definedName name="_xlnm._FilterDatabase" localSheetId="0" hidden="1">基本資料!$A$57:$M$95</definedName>
    <definedName name="_xlnm._FilterDatabase" localSheetId="6" hidden="1">#REF!</definedName>
    <definedName name="_xlnm.Print_Area" localSheetId="4">'內科 '!$A$1:$AJ$33</definedName>
    <definedName name="_xlnm.Print_Area" localSheetId="5">外科!$A$1:$W$32</definedName>
    <definedName name="_xlnm.Print_Area" localSheetId="3">'學員-學程'!$A$1:$O$143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24" l="1"/>
  <c r="E24" i="24"/>
  <c r="F24" i="24"/>
  <c r="G24" i="24"/>
  <c r="H24" i="24"/>
  <c r="I24" i="24"/>
  <c r="J24" i="24"/>
  <c r="K24" i="24"/>
  <c r="L24" i="24"/>
  <c r="M24" i="24"/>
  <c r="N24" i="24"/>
  <c r="O24" i="24"/>
  <c r="D51" i="24"/>
  <c r="E51" i="24"/>
  <c r="F51" i="24"/>
  <c r="G51" i="24"/>
  <c r="H51" i="24"/>
  <c r="I51" i="24"/>
  <c r="J51" i="24"/>
  <c r="K51" i="24"/>
  <c r="L51" i="24"/>
  <c r="M51" i="24"/>
  <c r="N51" i="24"/>
  <c r="O51" i="24"/>
  <c r="D60" i="24"/>
  <c r="E60" i="24"/>
  <c r="F60" i="24"/>
  <c r="G60" i="24"/>
  <c r="H60" i="24"/>
  <c r="I60" i="24"/>
  <c r="J60" i="24"/>
  <c r="K60" i="24"/>
  <c r="L60" i="24"/>
  <c r="M60" i="24"/>
  <c r="N60" i="24"/>
  <c r="O60" i="24"/>
  <c r="D72" i="24"/>
  <c r="E72" i="24"/>
  <c r="F72" i="24"/>
  <c r="G72" i="24"/>
  <c r="H72" i="24"/>
  <c r="I72" i="24"/>
  <c r="J72" i="24"/>
  <c r="K72" i="24"/>
  <c r="L72" i="24"/>
  <c r="M72" i="24"/>
  <c r="N72" i="24"/>
  <c r="O72" i="24"/>
  <c r="D81" i="24"/>
  <c r="E81" i="24"/>
  <c r="F81" i="24"/>
  <c r="G81" i="24"/>
  <c r="H81" i="24"/>
  <c r="I81" i="24"/>
  <c r="J81" i="24"/>
  <c r="K81" i="24"/>
  <c r="L81" i="24"/>
  <c r="M81" i="24"/>
  <c r="N81" i="24"/>
  <c r="O81" i="24"/>
  <c r="D86" i="24"/>
  <c r="E86" i="24"/>
  <c r="F86" i="24"/>
  <c r="G86" i="24"/>
  <c r="H86" i="24"/>
  <c r="I86" i="24"/>
  <c r="J86" i="24"/>
  <c r="K86" i="24"/>
  <c r="L86" i="24"/>
  <c r="M86" i="24"/>
  <c r="N86" i="24"/>
  <c r="O86" i="24"/>
  <c r="D108" i="24"/>
  <c r="E108" i="24"/>
  <c r="F108" i="24"/>
  <c r="G108" i="24"/>
  <c r="H108" i="24"/>
  <c r="I108" i="24"/>
  <c r="J108" i="24"/>
  <c r="K108" i="24"/>
  <c r="L108" i="24"/>
  <c r="M108" i="24"/>
  <c r="N108" i="24"/>
  <c r="O108" i="24"/>
  <c r="D125" i="24"/>
  <c r="E125" i="24"/>
  <c r="F125" i="24"/>
  <c r="G125" i="24"/>
  <c r="H125" i="24"/>
  <c r="I125" i="24"/>
  <c r="J125" i="24"/>
  <c r="K125" i="24"/>
  <c r="L125" i="24"/>
  <c r="M125" i="24"/>
  <c r="N125" i="24"/>
  <c r="O125" i="24"/>
  <c r="D142" i="24"/>
  <c r="E142" i="24"/>
  <c r="F142" i="24"/>
  <c r="G142" i="24"/>
  <c r="H142" i="24"/>
  <c r="I142" i="24"/>
  <c r="J142" i="24"/>
  <c r="K142" i="24"/>
  <c r="L142" i="24"/>
  <c r="M142" i="24"/>
  <c r="N142" i="24"/>
  <c r="O142" i="24"/>
  <c r="D143" i="24"/>
  <c r="E143" i="24"/>
  <c r="F143" i="24"/>
  <c r="G143" i="24"/>
  <c r="H143" i="24"/>
  <c r="I143" i="24"/>
  <c r="J143" i="24"/>
  <c r="K143" i="24"/>
  <c r="L143" i="24"/>
  <c r="M143" i="24"/>
  <c r="N143" i="24"/>
  <c r="O143" i="24"/>
  <c r="C80" i="1" l="1"/>
  <c r="D80" i="1"/>
  <c r="E80" i="1"/>
  <c r="F80" i="1"/>
  <c r="G80" i="1"/>
  <c r="H80" i="1"/>
  <c r="I80" i="1"/>
  <c r="J80" i="1"/>
  <c r="K80" i="1"/>
  <c r="L80" i="1"/>
  <c r="M80" i="1"/>
  <c r="N80" i="1"/>
  <c r="N78" i="1" l="1"/>
  <c r="M78" i="1"/>
  <c r="L78" i="1"/>
  <c r="K78" i="1"/>
  <c r="J78" i="1"/>
  <c r="I78" i="1"/>
  <c r="H78" i="1"/>
  <c r="G78" i="1"/>
  <c r="F78" i="1"/>
  <c r="E78" i="1"/>
  <c r="D78" i="1"/>
  <c r="C78" i="1"/>
  <c r="N76" i="1"/>
  <c r="M76" i="1"/>
  <c r="L76" i="1"/>
  <c r="K76" i="1"/>
  <c r="J76" i="1"/>
  <c r="I76" i="1"/>
  <c r="H76" i="1"/>
  <c r="G76" i="1"/>
  <c r="F76" i="1"/>
  <c r="E76" i="1"/>
  <c r="D76" i="1"/>
  <c r="C76" i="1"/>
  <c r="N97" i="1"/>
  <c r="M97" i="1"/>
  <c r="L97" i="1"/>
  <c r="K97" i="1"/>
  <c r="J97" i="1"/>
  <c r="I97" i="1"/>
  <c r="H97" i="1"/>
  <c r="G97" i="1"/>
  <c r="F97" i="1"/>
  <c r="E97" i="1"/>
  <c r="D97" i="1"/>
  <c r="C97" i="1"/>
  <c r="N96" i="1"/>
  <c r="M96" i="1"/>
  <c r="L96" i="1"/>
  <c r="K96" i="1"/>
  <c r="J96" i="1"/>
  <c r="I96" i="1"/>
  <c r="H96" i="1"/>
  <c r="G96" i="1"/>
  <c r="F96" i="1"/>
  <c r="E96" i="1"/>
  <c r="D96" i="1"/>
  <c r="C96" i="1"/>
  <c r="N95" i="1"/>
  <c r="M95" i="1"/>
  <c r="L95" i="1"/>
  <c r="K95" i="1"/>
  <c r="J95" i="1"/>
  <c r="I95" i="1"/>
  <c r="H95" i="1"/>
  <c r="G95" i="1"/>
  <c r="F95" i="1"/>
  <c r="E95" i="1"/>
  <c r="D95" i="1"/>
  <c r="C95" i="1"/>
  <c r="N94" i="1"/>
  <c r="M94" i="1"/>
  <c r="L94" i="1"/>
  <c r="K94" i="1"/>
  <c r="J94" i="1"/>
  <c r="I94" i="1"/>
  <c r="H94" i="1"/>
  <c r="G94" i="1"/>
  <c r="F94" i="1"/>
  <c r="E94" i="1"/>
  <c r="D94" i="1"/>
  <c r="C94" i="1"/>
  <c r="N93" i="1"/>
  <c r="M93" i="1"/>
  <c r="L93" i="1"/>
  <c r="K93" i="1"/>
  <c r="J93" i="1"/>
  <c r="I93" i="1"/>
  <c r="H93" i="1"/>
  <c r="G93" i="1"/>
  <c r="F93" i="1"/>
  <c r="E93" i="1"/>
  <c r="D93" i="1"/>
  <c r="C93" i="1"/>
  <c r="N92" i="1"/>
  <c r="M92" i="1"/>
  <c r="L92" i="1"/>
  <c r="K92" i="1"/>
  <c r="J92" i="1"/>
  <c r="I92" i="1"/>
  <c r="H92" i="1"/>
  <c r="G92" i="1"/>
  <c r="F92" i="1"/>
  <c r="E92" i="1"/>
  <c r="D92" i="1"/>
  <c r="C92" i="1"/>
  <c r="N91" i="1"/>
  <c r="M91" i="1"/>
  <c r="L91" i="1"/>
  <c r="K91" i="1"/>
  <c r="J91" i="1"/>
  <c r="I91" i="1"/>
  <c r="H91" i="1"/>
  <c r="G91" i="1"/>
  <c r="F91" i="1"/>
  <c r="E91" i="1"/>
  <c r="D91" i="1"/>
  <c r="C91" i="1"/>
  <c r="N90" i="1"/>
  <c r="M90" i="1"/>
  <c r="L90" i="1"/>
  <c r="K90" i="1"/>
  <c r="J90" i="1"/>
  <c r="I90" i="1"/>
  <c r="H90" i="1"/>
  <c r="G90" i="1"/>
  <c r="F90" i="1"/>
  <c r="E90" i="1"/>
  <c r="D90" i="1"/>
  <c r="C90" i="1"/>
  <c r="N89" i="1"/>
  <c r="M89" i="1"/>
  <c r="L89" i="1"/>
  <c r="K89" i="1"/>
  <c r="J89" i="1"/>
  <c r="I89" i="1"/>
  <c r="H89" i="1"/>
  <c r="G89" i="1"/>
  <c r="F89" i="1"/>
  <c r="E89" i="1"/>
  <c r="D89" i="1"/>
  <c r="C89" i="1"/>
  <c r="N88" i="1"/>
  <c r="M88" i="1"/>
  <c r="L88" i="1"/>
  <c r="K88" i="1"/>
  <c r="J88" i="1"/>
  <c r="I88" i="1"/>
  <c r="H88" i="1"/>
  <c r="G88" i="1"/>
  <c r="F88" i="1"/>
  <c r="E88" i="1"/>
  <c r="D88" i="1"/>
  <c r="C88" i="1"/>
  <c r="N87" i="1"/>
  <c r="M87" i="1"/>
  <c r="L87" i="1"/>
  <c r="K87" i="1"/>
  <c r="J87" i="1"/>
  <c r="I87" i="1"/>
  <c r="H87" i="1"/>
  <c r="G87" i="1"/>
  <c r="F87" i="1"/>
  <c r="E87" i="1"/>
  <c r="D87" i="1"/>
  <c r="C87" i="1"/>
  <c r="N86" i="1"/>
  <c r="M86" i="1"/>
  <c r="L86" i="1"/>
  <c r="K86" i="1"/>
  <c r="J86" i="1"/>
  <c r="I86" i="1"/>
  <c r="H86" i="1"/>
  <c r="G86" i="1"/>
  <c r="F86" i="1"/>
  <c r="E86" i="1"/>
  <c r="D86" i="1"/>
  <c r="C86" i="1"/>
  <c r="N85" i="1"/>
  <c r="M85" i="1"/>
  <c r="L85" i="1"/>
  <c r="K85" i="1"/>
  <c r="J85" i="1"/>
  <c r="I85" i="1"/>
  <c r="H85" i="1"/>
  <c r="G85" i="1"/>
  <c r="F85" i="1"/>
  <c r="E85" i="1"/>
  <c r="D85" i="1"/>
  <c r="C85" i="1"/>
  <c r="N84" i="1"/>
  <c r="M84" i="1"/>
  <c r="L84" i="1"/>
  <c r="K84" i="1"/>
  <c r="J84" i="1"/>
  <c r="I84" i="1"/>
  <c r="H84" i="1"/>
  <c r="G84" i="1"/>
  <c r="F84" i="1"/>
  <c r="E84" i="1"/>
  <c r="D84" i="1"/>
  <c r="C84" i="1"/>
  <c r="N83" i="1"/>
  <c r="N98" i="1" s="1"/>
  <c r="M83" i="1"/>
  <c r="L83" i="1"/>
  <c r="K83" i="1"/>
  <c r="J83" i="1"/>
  <c r="J98" i="1" s="1"/>
  <c r="I83" i="1"/>
  <c r="H83" i="1"/>
  <c r="G83" i="1"/>
  <c r="F83" i="1"/>
  <c r="E83" i="1"/>
  <c r="D83" i="1"/>
  <c r="C83" i="1"/>
  <c r="N82" i="1"/>
  <c r="M82" i="1"/>
  <c r="L82" i="1"/>
  <c r="K82" i="1"/>
  <c r="J82" i="1"/>
  <c r="I82" i="1"/>
  <c r="H82" i="1"/>
  <c r="G82" i="1"/>
  <c r="F82" i="1"/>
  <c r="E82" i="1"/>
  <c r="D82" i="1"/>
  <c r="C82" i="1"/>
  <c r="N81" i="1"/>
  <c r="M81" i="1"/>
  <c r="L81" i="1"/>
  <c r="K81" i="1"/>
  <c r="J81" i="1"/>
  <c r="I81" i="1"/>
  <c r="H81" i="1"/>
  <c r="G81" i="1"/>
  <c r="F81" i="1"/>
  <c r="E81" i="1"/>
  <c r="D81" i="1"/>
  <c r="C81" i="1"/>
  <c r="N79" i="1"/>
  <c r="M79" i="1"/>
  <c r="L79" i="1"/>
  <c r="K79" i="1"/>
  <c r="J79" i="1"/>
  <c r="I79" i="1"/>
  <c r="H79" i="1"/>
  <c r="G79" i="1"/>
  <c r="F79" i="1"/>
  <c r="E79" i="1"/>
  <c r="D79" i="1"/>
  <c r="C79" i="1"/>
  <c r="N77" i="1"/>
  <c r="M77" i="1"/>
  <c r="L77" i="1"/>
  <c r="K77" i="1"/>
  <c r="J77" i="1"/>
  <c r="I77" i="1"/>
  <c r="H77" i="1"/>
  <c r="G77" i="1"/>
  <c r="F77" i="1"/>
  <c r="E77" i="1"/>
  <c r="D77" i="1"/>
  <c r="C77" i="1"/>
  <c r="N75" i="1"/>
  <c r="M75" i="1"/>
  <c r="L75" i="1"/>
  <c r="K75" i="1"/>
  <c r="J75" i="1"/>
  <c r="I75" i="1"/>
  <c r="H75" i="1"/>
  <c r="G75" i="1"/>
  <c r="F75" i="1"/>
  <c r="E75" i="1"/>
  <c r="D75" i="1"/>
  <c r="C75" i="1"/>
  <c r="N73" i="1"/>
  <c r="M73" i="1"/>
  <c r="L73" i="1"/>
  <c r="K73" i="1"/>
  <c r="J73" i="1"/>
  <c r="I73" i="1"/>
  <c r="H73" i="1"/>
  <c r="G73" i="1"/>
  <c r="F73" i="1"/>
  <c r="E73" i="1"/>
  <c r="D73" i="1"/>
  <c r="C73" i="1"/>
  <c r="N72" i="1"/>
  <c r="M72" i="1"/>
  <c r="L72" i="1"/>
  <c r="K72" i="1"/>
  <c r="J72" i="1"/>
  <c r="I72" i="1"/>
  <c r="H72" i="1"/>
  <c r="G72" i="1"/>
  <c r="F72" i="1"/>
  <c r="E72" i="1"/>
  <c r="D72" i="1"/>
  <c r="C72" i="1"/>
  <c r="N71" i="1"/>
  <c r="M71" i="1"/>
  <c r="L71" i="1"/>
  <c r="K71" i="1"/>
  <c r="J71" i="1"/>
  <c r="I71" i="1"/>
  <c r="H71" i="1"/>
  <c r="G71" i="1"/>
  <c r="F71" i="1"/>
  <c r="E71" i="1"/>
  <c r="D71" i="1"/>
  <c r="C71" i="1"/>
  <c r="N70" i="1"/>
  <c r="M70" i="1"/>
  <c r="L70" i="1"/>
  <c r="K70" i="1"/>
  <c r="J70" i="1"/>
  <c r="I70" i="1"/>
  <c r="H70" i="1"/>
  <c r="G70" i="1"/>
  <c r="F70" i="1"/>
  <c r="E70" i="1"/>
  <c r="D70" i="1"/>
  <c r="C70" i="1"/>
  <c r="N69" i="1"/>
  <c r="M69" i="1"/>
  <c r="L69" i="1"/>
  <c r="K69" i="1"/>
  <c r="J69" i="1"/>
  <c r="I69" i="1"/>
  <c r="H69" i="1"/>
  <c r="G69" i="1"/>
  <c r="F69" i="1"/>
  <c r="E69" i="1"/>
  <c r="D69" i="1"/>
  <c r="C69" i="1"/>
  <c r="N68" i="1"/>
  <c r="M68" i="1"/>
  <c r="L68" i="1"/>
  <c r="K68" i="1"/>
  <c r="J68" i="1"/>
  <c r="I68" i="1"/>
  <c r="H68" i="1"/>
  <c r="G68" i="1"/>
  <c r="F68" i="1"/>
  <c r="E68" i="1"/>
  <c r="D68" i="1"/>
  <c r="C68" i="1"/>
  <c r="N67" i="1"/>
  <c r="M67" i="1"/>
  <c r="L67" i="1"/>
  <c r="K67" i="1"/>
  <c r="J67" i="1"/>
  <c r="I67" i="1"/>
  <c r="H67" i="1"/>
  <c r="G67" i="1"/>
  <c r="F67" i="1"/>
  <c r="E67" i="1"/>
  <c r="D67" i="1"/>
  <c r="C67" i="1"/>
  <c r="N66" i="1"/>
  <c r="M66" i="1"/>
  <c r="L66" i="1"/>
  <c r="K66" i="1"/>
  <c r="J66" i="1"/>
  <c r="I66" i="1"/>
  <c r="H66" i="1"/>
  <c r="G66" i="1"/>
  <c r="F66" i="1"/>
  <c r="E66" i="1"/>
  <c r="D66" i="1"/>
  <c r="C66" i="1"/>
  <c r="N64" i="1"/>
  <c r="M64" i="1"/>
  <c r="L64" i="1"/>
  <c r="K64" i="1"/>
  <c r="J64" i="1"/>
  <c r="I64" i="1"/>
  <c r="H64" i="1"/>
  <c r="G64" i="1"/>
  <c r="F64" i="1"/>
  <c r="E64" i="1"/>
  <c r="D64" i="1"/>
  <c r="C64" i="1"/>
  <c r="N63" i="1"/>
  <c r="M63" i="1"/>
  <c r="L63" i="1"/>
  <c r="K63" i="1"/>
  <c r="J63" i="1"/>
  <c r="I63" i="1"/>
  <c r="H63" i="1"/>
  <c r="G63" i="1"/>
  <c r="F63" i="1"/>
  <c r="E63" i="1"/>
  <c r="D63" i="1"/>
  <c r="C63" i="1"/>
  <c r="N62" i="1"/>
  <c r="M62" i="1"/>
  <c r="L62" i="1"/>
  <c r="K62" i="1"/>
  <c r="J62" i="1"/>
  <c r="I62" i="1"/>
  <c r="H62" i="1"/>
  <c r="G62" i="1"/>
  <c r="F62" i="1"/>
  <c r="E62" i="1"/>
  <c r="D62" i="1"/>
  <c r="C62" i="1"/>
  <c r="N61" i="1"/>
  <c r="M61" i="1"/>
  <c r="L61" i="1"/>
  <c r="K61" i="1"/>
  <c r="J61" i="1"/>
  <c r="I61" i="1"/>
  <c r="H61" i="1"/>
  <c r="G61" i="1"/>
  <c r="F61" i="1"/>
  <c r="E61" i="1"/>
  <c r="D61" i="1"/>
  <c r="C61" i="1"/>
  <c r="N60" i="1"/>
  <c r="M60" i="1"/>
  <c r="L60" i="1"/>
  <c r="K60" i="1"/>
  <c r="J60" i="1"/>
  <c r="I60" i="1"/>
  <c r="H60" i="1"/>
  <c r="G60" i="1"/>
  <c r="F60" i="1"/>
  <c r="E60" i="1"/>
  <c r="D60" i="1"/>
  <c r="C60" i="1"/>
  <c r="N59" i="1"/>
  <c r="M59" i="1"/>
  <c r="L59" i="1"/>
  <c r="K59" i="1"/>
  <c r="J59" i="1"/>
  <c r="I59" i="1"/>
  <c r="H59" i="1"/>
  <c r="G59" i="1"/>
  <c r="F59" i="1"/>
  <c r="E59" i="1"/>
  <c r="D59" i="1"/>
  <c r="C59" i="1"/>
  <c r="N58" i="1"/>
  <c r="M58" i="1"/>
  <c r="L58" i="1"/>
  <c r="K58" i="1"/>
  <c r="J58" i="1"/>
  <c r="I58" i="1"/>
  <c r="H58" i="1"/>
  <c r="G58" i="1"/>
  <c r="F58" i="1"/>
  <c r="E58" i="1"/>
  <c r="D58" i="1"/>
  <c r="C58" i="1"/>
  <c r="N57" i="1"/>
  <c r="M57" i="1"/>
  <c r="L57" i="1"/>
  <c r="K57" i="1"/>
  <c r="J57" i="1"/>
  <c r="I57" i="1"/>
  <c r="H57" i="1"/>
  <c r="G57" i="1"/>
  <c r="F57" i="1"/>
  <c r="E57" i="1"/>
  <c r="D57" i="1"/>
  <c r="C57" i="1"/>
  <c r="N56" i="1"/>
  <c r="M56" i="1"/>
  <c r="L56" i="1"/>
  <c r="K56" i="1"/>
  <c r="J56" i="1"/>
  <c r="I56" i="1"/>
  <c r="H56" i="1"/>
  <c r="G56" i="1"/>
  <c r="F56" i="1"/>
  <c r="E56" i="1"/>
  <c r="D56" i="1"/>
  <c r="C56" i="1"/>
  <c r="L98" i="1" l="1"/>
  <c r="K98" i="1"/>
  <c r="J74" i="1"/>
  <c r="I98" i="1"/>
  <c r="G74" i="1"/>
  <c r="H74" i="1"/>
  <c r="H98" i="1"/>
  <c r="E98" i="1"/>
  <c r="G98" i="1"/>
  <c r="C98" i="1"/>
  <c r="D74" i="1"/>
  <c r="M98" i="1"/>
  <c r="C74" i="1"/>
  <c r="D98" i="1"/>
  <c r="I74" i="1"/>
  <c r="F98" i="1"/>
  <c r="F74" i="1"/>
  <c r="E74" i="1"/>
  <c r="C65" i="1"/>
  <c r="O60" i="1"/>
  <c r="O61" i="1"/>
  <c r="O67" i="1"/>
  <c r="O68" i="1"/>
  <c r="O69" i="1"/>
  <c r="O70" i="1"/>
  <c r="O71" i="1"/>
  <c r="O72" i="1"/>
  <c r="O73" i="1"/>
  <c r="O75" i="1"/>
  <c r="O77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76" i="1"/>
  <c r="O78" i="1"/>
  <c r="N74" i="1"/>
  <c r="O58" i="1"/>
  <c r="K65" i="1"/>
  <c r="K74" i="1"/>
  <c r="O59" i="1"/>
  <c r="G65" i="1"/>
  <c r="L74" i="1"/>
  <c r="M74" i="1"/>
  <c r="O57" i="1"/>
  <c r="O79" i="1"/>
  <c r="H65" i="1"/>
  <c r="D65" i="1"/>
  <c r="O62" i="1"/>
  <c r="O63" i="1"/>
  <c r="O64" i="1"/>
  <c r="L65" i="1"/>
  <c r="O66" i="1"/>
  <c r="E65" i="1"/>
  <c r="I65" i="1"/>
  <c r="M65" i="1"/>
  <c r="O56" i="1"/>
  <c r="F65" i="1"/>
  <c r="J65" i="1"/>
  <c r="N65" i="1"/>
  <c r="J168" i="1" l="1"/>
  <c r="M174" i="1"/>
  <c r="L174" i="1"/>
  <c r="F180" i="1"/>
  <c r="G180" i="1"/>
  <c r="H168" i="1"/>
  <c r="G168" i="1"/>
  <c r="I168" i="1"/>
  <c r="E180" i="1"/>
  <c r="D168" i="1"/>
  <c r="N180" i="1"/>
  <c r="K180" i="1"/>
  <c r="I180" i="1"/>
  <c r="M180" i="1"/>
  <c r="L180" i="1"/>
  <c r="D180" i="1"/>
  <c r="J180" i="1"/>
  <c r="H180" i="1"/>
  <c r="C168" i="1"/>
  <c r="C180" i="1"/>
  <c r="K174" i="1"/>
  <c r="F174" i="1"/>
  <c r="E168" i="1"/>
  <c r="N168" i="1"/>
  <c r="N174" i="1"/>
  <c r="H174" i="1"/>
  <c r="J174" i="1"/>
  <c r="G174" i="1"/>
  <c r="D174" i="1"/>
  <c r="E174" i="1"/>
  <c r="I174" i="1"/>
  <c r="C174" i="1"/>
  <c r="F168" i="1"/>
  <c r="L168" i="1"/>
  <c r="K168" i="1"/>
  <c r="M168" i="1"/>
  <c r="O74" i="1"/>
  <c r="O65" i="1"/>
  <c r="D183" i="1"/>
  <c r="D186" i="1"/>
  <c r="D156" i="1"/>
  <c r="D194" i="1"/>
  <c r="D188" i="1"/>
  <c r="D185" i="1"/>
  <c r="D165" i="1"/>
  <c r="D158" i="1"/>
  <c r="D191" i="1"/>
  <c r="D177" i="1"/>
  <c r="D192" i="1"/>
  <c r="D160" i="1"/>
  <c r="D176" i="1"/>
  <c r="D161" i="1"/>
  <c r="D189" i="1"/>
  <c r="D190" i="1"/>
  <c r="D166" i="1"/>
  <c r="D173" i="1"/>
  <c r="D193" i="1"/>
  <c r="D181" i="1"/>
  <c r="D155" i="1"/>
  <c r="D154" i="1"/>
  <c r="D171" i="1"/>
  <c r="D170" i="1"/>
  <c r="D184" i="1"/>
  <c r="D178" i="1"/>
  <c r="D172" i="1"/>
  <c r="D157" i="1"/>
  <c r="D159" i="1"/>
  <c r="D179" i="1"/>
  <c r="D182" i="1"/>
  <c r="D162" i="1"/>
  <c r="D167" i="1"/>
  <c r="D163" i="1"/>
  <c r="D187" i="1"/>
  <c r="D169" i="1"/>
  <c r="E158" i="1"/>
  <c r="E190" i="1"/>
  <c r="E154" i="1"/>
  <c r="E178" i="1"/>
  <c r="E163" i="1"/>
  <c r="E160" i="1"/>
  <c r="E169" i="1"/>
  <c r="E171" i="1"/>
  <c r="E191" i="1"/>
  <c r="E156" i="1"/>
  <c r="E159" i="1"/>
  <c r="E162" i="1"/>
  <c r="E194" i="1"/>
  <c r="E193" i="1"/>
  <c r="E161" i="1"/>
  <c r="E172" i="1"/>
  <c r="E177" i="1"/>
  <c r="E182" i="1"/>
  <c r="E181" i="1"/>
  <c r="E188" i="1"/>
  <c r="E170" i="1"/>
  <c r="E173" i="1"/>
  <c r="E176" i="1"/>
  <c r="E165" i="1"/>
  <c r="E167" i="1"/>
  <c r="E192" i="1"/>
  <c r="E187" i="1"/>
  <c r="E186" i="1"/>
  <c r="E157" i="1"/>
  <c r="E155" i="1"/>
  <c r="E185" i="1"/>
  <c r="E179" i="1"/>
  <c r="E189" i="1"/>
  <c r="E184" i="1"/>
  <c r="E166" i="1"/>
  <c r="E183" i="1"/>
  <c r="D175" i="1" l="1"/>
  <c r="E164" i="1"/>
  <c r="D164" i="1"/>
  <c r="D195" i="1"/>
  <c r="E195" i="1"/>
  <c r="E175" i="1"/>
  <c r="O174" i="1"/>
  <c r="O168" i="1"/>
  <c r="F157" i="1"/>
  <c r="F188" i="1"/>
  <c r="F193" i="1"/>
  <c r="F171" i="1"/>
  <c r="F173" i="1"/>
  <c r="F182" i="1"/>
  <c r="F191" i="1"/>
  <c r="F154" i="1"/>
  <c r="F176" i="1"/>
  <c r="F183" i="1"/>
  <c r="F186" i="1"/>
  <c r="F172" i="1"/>
  <c r="F178" i="1"/>
  <c r="F169" i="1"/>
  <c r="F185" i="1"/>
  <c r="F163" i="1"/>
  <c r="F162" i="1"/>
  <c r="F167" i="1"/>
  <c r="F160" i="1"/>
  <c r="F181" i="1"/>
  <c r="F170" i="1"/>
  <c r="F194" i="1"/>
  <c r="F156" i="1"/>
  <c r="F165" i="1"/>
  <c r="F179" i="1"/>
  <c r="F189" i="1"/>
  <c r="F177" i="1"/>
  <c r="F155" i="1"/>
  <c r="F158" i="1"/>
  <c r="F190" i="1"/>
  <c r="F192" i="1"/>
  <c r="F184" i="1"/>
  <c r="F166" i="1"/>
  <c r="F159" i="1"/>
  <c r="F161" i="1"/>
  <c r="F187" i="1"/>
  <c r="G172" i="1"/>
  <c r="G173" i="1"/>
  <c r="G156" i="1"/>
  <c r="G190" i="1"/>
  <c r="G176" i="1"/>
  <c r="G194" i="1"/>
  <c r="G161" i="1"/>
  <c r="G159" i="1"/>
  <c r="G167" i="1"/>
  <c r="G177" i="1"/>
  <c r="G163" i="1"/>
  <c r="G166" i="1"/>
  <c r="G157" i="1"/>
  <c r="G188" i="1"/>
  <c r="G154" i="1"/>
  <c r="G178" i="1"/>
  <c r="G187" i="1"/>
  <c r="G160" i="1"/>
  <c r="G193" i="1"/>
  <c r="G165" i="1"/>
  <c r="G179" i="1"/>
  <c r="G181" i="1"/>
  <c r="G191" i="1"/>
  <c r="G192" i="1"/>
  <c r="G158" i="1"/>
  <c r="G184" i="1"/>
  <c r="G162" i="1"/>
  <c r="G185" i="1"/>
  <c r="G171" i="1"/>
  <c r="G169" i="1"/>
  <c r="G186" i="1"/>
  <c r="G155" i="1"/>
  <c r="G182" i="1"/>
  <c r="G170" i="1"/>
  <c r="G189" i="1"/>
  <c r="G183" i="1"/>
  <c r="H155" i="1"/>
  <c r="H162" i="1"/>
  <c r="H194" i="1"/>
  <c r="H179" i="1"/>
  <c r="H176" i="1"/>
  <c r="H192" i="1"/>
  <c r="H160" i="1"/>
  <c r="H173" i="1"/>
  <c r="H165" i="1"/>
  <c r="H169" i="1"/>
  <c r="H190" i="1"/>
  <c r="H166" i="1"/>
  <c r="H171" i="1"/>
  <c r="H159" i="1"/>
  <c r="H156" i="1"/>
  <c r="H172" i="1"/>
  <c r="H177" i="1"/>
  <c r="H167" i="1"/>
  <c r="H161" i="1"/>
  <c r="H163" i="1"/>
  <c r="H183" i="1"/>
  <c r="H178" i="1"/>
  <c r="H170" i="1"/>
  <c r="H193" i="1"/>
  <c r="H182" i="1"/>
  <c r="H181" i="1"/>
  <c r="H191" i="1"/>
  <c r="H158" i="1"/>
  <c r="H188" i="1"/>
  <c r="H185" i="1"/>
  <c r="H187" i="1"/>
  <c r="H189" i="1"/>
  <c r="H154" i="1"/>
  <c r="H186" i="1"/>
  <c r="H184" i="1"/>
  <c r="H157" i="1"/>
  <c r="I156" i="1"/>
  <c r="I170" i="1"/>
  <c r="I190" i="1"/>
  <c r="I193" i="1"/>
  <c r="I159" i="1"/>
  <c r="I182" i="1"/>
  <c r="I157" i="1"/>
  <c r="I155" i="1"/>
  <c r="I188" i="1"/>
  <c r="I169" i="1"/>
  <c r="I172" i="1"/>
  <c r="I186" i="1"/>
  <c r="I165" i="1"/>
  <c r="I178" i="1"/>
  <c r="I162" i="1"/>
  <c r="I191" i="1"/>
  <c r="I179" i="1"/>
  <c r="I158" i="1"/>
  <c r="I181" i="1"/>
  <c r="I183" i="1"/>
  <c r="I184" i="1"/>
  <c r="I167" i="1"/>
  <c r="I176" i="1"/>
  <c r="I185" i="1"/>
  <c r="I171" i="1"/>
  <c r="I194" i="1"/>
  <c r="I163" i="1"/>
  <c r="I187" i="1"/>
  <c r="I189" i="1"/>
  <c r="I177" i="1"/>
  <c r="I160" i="1"/>
  <c r="I154" i="1"/>
  <c r="I161" i="1"/>
  <c r="I192" i="1"/>
  <c r="I166" i="1"/>
  <c r="I173" i="1"/>
  <c r="J181" i="1"/>
  <c r="J165" i="1"/>
  <c r="J161" i="1"/>
  <c r="J182" i="1"/>
  <c r="J189" i="1"/>
  <c r="J154" i="1"/>
  <c r="J185" i="1"/>
  <c r="J160" i="1"/>
  <c r="J192" i="1"/>
  <c r="J172" i="1"/>
  <c r="J156" i="1"/>
  <c r="J187" i="1"/>
  <c r="J178" i="1"/>
  <c r="J170" i="1"/>
  <c r="J190" i="1"/>
  <c r="J157" i="1"/>
  <c r="J194" i="1"/>
  <c r="J177" i="1"/>
  <c r="J166" i="1"/>
  <c r="J184" i="1"/>
  <c r="J191" i="1"/>
  <c r="J167" i="1"/>
  <c r="J162" i="1"/>
  <c r="J188" i="1"/>
  <c r="J171" i="1"/>
  <c r="J183" i="1"/>
  <c r="J193" i="1"/>
  <c r="J159" i="1"/>
  <c r="J173" i="1"/>
  <c r="J186" i="1"/>
  <c r="J169" i="1"/>
  <c r="J155" i="1"/>
  <c r="J176" i="1"/>
  <c r="J179" i="1"/>
  <c r="J158" i="1"/>
  <c r="J163" i="1"/>
  <c r="K171" i="1"/>
  <c r="K166" i="1"/>
  <c r="K191" i="1"/>
  <c r="K182" i="1"/>
  <c r="K158" i="1"/>
  <c r="K190" i="1"/>
  <c r="K187" i="1"/>
  <c r="K176" i="1"/>
  <c r="K179" i="1"/>
  <c r="K165" i="1"/>
  <c r="K154" i="1"/>
  <c r="K188" i="1"/>
  <c r="K173" i="1"/>
  <c r="K177" i="1"/>
  <c r="K159" i="1"/>
  <c r="K172" i="1"/>
  <c r="K155" i="1"/>
  <c r="K186" i="1"/>
  <c r="K169" i="1"/>
  <c r="K162" i="1"/>
  <c r="K161" i="1"/>
  <c r="K181" i="1"/>
  <c r="K194" i="1"/>
  <c r="K170" i="1"/>
  <c r="K156" i="1"/>
  <c r="K185" i="1"/>
  <c r="K157" i="1"/>
  <c r="K160" i="1"/>
  <c r="K184" i="1"/>
  <c r="K163" i="1"/>
  <c r="K193" i="1"/>
  <c r="K178" i="1"/>
  <c r="K189" i="1"/>
  <c r="K192" i="1"/>
  <c r="K183" i="1"/>
  <c r="K167" i="1"/>
  <c r="D196" i="1" l="1"/>
  <c r="G164" i="1"/>
  <c r="E196" i="1"/>
  <c r="K164" i="1"/>
  <c r="H164" i="1"/>
  <c r="I164" i="1"/>
  <c r="F164" i="1"/>
  <c r="J164" i="1"/>
  <c r="K195" i="1"/>
  <c r="H195" i="1"/>
  <c r="J195" i="1"/>
  <c r="I195" i="1"/>
  <c r="G195" i="1"/>
  <c r="F195" i="1"/>
  <c r="G175" i="1"/>
  <c r="F175" i="1"/>
  <c r="J175" i="1"/>
  <c r="H175" i="1"/>
  <c r="I175" i="1"/>
  <c r="K175" i="1"/>
  <c r="L163" i="1"/>
  <c r="L161" i="1"/>
  <c r="L166" i="1"/>
  <c r="L172" i="1"/>
  <c r="L165" i="1"/>
  <c r="L171" i="1"/>
  <c r="L190" i="1"/>
  <c r="L155" i="1"/>
  <c r="L162" i="1"/>
  <c r="L186" i="1"/>
  <c r="L182" i="1"/>
  <c r="L184" i="1"/>
  <c r="L188" i="1"/>
  <c r="L167" i="1"/>
  <c r="L154" i="1"/>
  <c r="L160" i="1"/>
  <c r="L157" i="1"/>
  <c r="L179" i="1"/>
  <c r="L178" i="1"/>
  <c r="L169" i="1"/>
  <c r="L187" i="1"/>
  <c r="L192" i="1"/>
  <c r="L189" i="1"/>
  <c r="L193" i="1"/>
  <c r="L170" i="1"/>
  <c r="L173" i="1"/>
  <c r="L191" i="1"/>
  <c r="L177" i="1"/>
  <c r="L185" i="1"/>
  <c r="L181" i="1"/>
  <c r="L159" i="1"/>
  <c r="L156" i="1"/>
  <c r="L183" i="1"/>
  <c r="L176" i="1"/>
  <c r="L194" i="1"/>
  <c r="L158" i="1"/>
  <c r="F196" i="1" l="1"/>
  <c r="H196" i="1"/>
  <c r="J196" i="1"/>
  <c r="K196" i="1"/>
  <c r="I196" i="1"/>
  <c r="G196" i="1"/>
  <c r="L164" i="1"/>
  <c r="L195" i="1"/>
  <c r="L175" i="1"/>
  <c r="M185" i="1"/>
  <c r="M176" i="1"/>
  <c r="M167" i="1"/>
  <c r="M181" i="1"/>
  <c r="M177" i="1"/>
  <c r="M162" i="1"/>
  <c r="M189" i="1"/>
  <c r="M154" i="1"/>
  <c r="M157" i="1"/>
  <c r="M190" i="1"/>
  <c r="M169" i="1"/>
  <c r="M171" i="1"/>
  <c r="M192" i="1"/>
  <c r="M166" i="1"/>
  <c r="M193" i="1"/>
  <c r="M178" i="1"/>
  <c r="M188" i="1"/>
  <c r="M172" i="1"/>
  <c r="M173" i="1"/>
  <c r="M194" i="1"/>
  <c r="M158" i="1"/>
  <c r="M159" i="1"/>
  <c r="M186" i="1"/>
  <c r="M160" i="1"/>
  <c r="M170" i="1"/>
  <c r="M182" i="1"/>
  <c r="M187" i="1"/>
  <c r="M179" i="1"/>
  <c r="M155" i="1"/>
  <c r="M191" i="1"/>
  <c r="M184" i="1"/>
  <c r="M161" i="1"/>
  <c r="M163" i="1"/>
  <c r="M183" i="1"/>
  <c r="M156" i="1"/>
  <c r="M165" i="1"/>
  <c r="L196" i="1" l="1"/>
  <c r="M164" i="1"/>
  <c r="M195" i="1"/>
  <c r="M175" i="1"/>
  <c r="N172" i="1"/>
  <c r="N155" i="1"/>
  <c r="N193" i="1"/>
  <c r="N163" i="1"/>
  <c r="N154" i="1"/>
  <c r="N178" i="1"/>
  <c r="N182" i="1"/>
  <c r="N185" i="1"/>
  <c r="N158" i="1"/>
  <c r="N190" i="1"/>
  <c r="N188" i="1"/>
  <c r="N187" i="1"/>
  <c r="N160" i="1"/>
  <c r="N184" i="1"/>
  <c r="N169" i="1"/>
  <c r="N167" i="1"/>
  <c r="N171" i="1"/>
  <c r="N173" i="1"/>
  <c r="N157" i="1"/>
  <c r="N183" i="1"/>
  <c r="N189" i="1"/>
  <c r="N186" i="1"/>
  <c r="N161" i="1"/>
  <c r="N179" i="1"/>
  <c r="N156" i="1"/>
  <c r="N192" i="1"/>
  <c r="N177" i="1"/>
  <c r="N194" i="1"/>
  <c r="N162" i="1"/>
  <c r="N165" i="1"/>
  <c r="N159" i="1"/>
  <c r="N166" i="1"/>
  <c r="N176" i="1"/>
  <c r="N170" i="1"/>
  <c r="N181" i="1"/>
  <c r="N191" i="1"/>
  <c r="C181" i="1"/>
  <c r="O98" i="1"/>
  <c r="C154" i="1"/>
  <c r="C161" i="1"/>
  <c r="C170" i="1"/>
  <c r="C166" i="1"/>
  <c r="C190" i="1"/>
  <c r="C194" i="1"/>
  <c r="C184" i="1"/>
  <c r="C192" i="1"/>
  <c r="C156" i="1"/>
  <c r="C186" i="1"/>
  <c r="C183" i="1"/>
  <c r="C177" i="1"/>
  <c r="C169" i="1"/>
  <c r="C191" i="1"/>
  <c r="C178" i="1"/>
  <c r="C163" i="1"/>
  <c r="C159" i="1"/>
  <c r="C155" i="1"/>
  <c r="C188" i="1"/>
  <c r="C162" i="1"/>
  <c r="C189" i="1"/>
  <c r="C193" i="1"/>
  <c r="C160" i="1"/>
  <c r="C187" i="1"/>
  <c r="C157" i="1"/>
  <c r="C185" i="1"/>
  <c r="C179" i="1"/>
  <c r="C167" i="1"/>
  <c r="C173" i="1"/>
  <c r="C176" i="1"/>
  <c r="C182" i="1"/>
  <c r="C165" i="1"/>
  <c r="C171" i="1"/>
  <c r="C158" i="1"/>
  <c r="C172" i="1"/>
  <c r="O172" i="1" s="1"/>
  <c r="O159" i="1" l="1"/>
  <c r="O160" i="1"/>
  <c r="O193" i="1"/>
  <c r="O190" i="1"/>
  <c r="O158" i="1"/>
  <c r="O186" i="1"/>
  <c r="O194" i="1"/>
  <c r="O156" i="1"/>
  <c r="O167" i="1"/>
  <c r="M196" i="1"/>
  <c r="C164" i="1"/>
  <c r="O177" i="1"/>
  <c r="C195" i="1"/>
  <c r="C175" i="1"/>
  <c r="N164" i="1"/>
  <c r="O154" i="1"/>
  <c r="O191" i="1"/>
  <c r="O183" i="1"/>
  <c r="O189" i="1"/>
  <c r="N195" i="1"/>
  <c r="O170" i="1"/>
  <c r="O155" i="1"/>
  <c r="O179" i="1"/>
  <c r="O178" i="1"/>
  <c r="O184" i="1"/>
  <c r="O180" i="1"/>
  <c r="N175" i="1"/>
  <c r="O166" i="1"/>
  <c r="O185" i="1"/>
  <c r="O161" i="1"/>
  <c r="O157" i="1"/>
  <c r="O165" i="1"/>
  <c r="O163" i="1"/>
  <c r="O169" i="1"/>
  <c r="O176" i="1"/>
  <c r="O162" i="1"/>
  <c r="O192" i="1"/>
  <c r="O182" i="1"/>
  <c r="O173" i="1"/>
  <c r="O188" i="1"/>
  <c r="O187" i="1"/>
  <c r="O171" i="1"/>
  <c r="C196" i="1" l="1"/>
  <c r="N196" i="1"/>
  <c r="O175" i="1"/>
  <c r="O164" i="1"/>
  <c r="O195" i="1"/>
</calcChain>
</file>

<file path=xl/sharedStrings.xml><?xml version="1.0" encoding="utf-8"?>
<sst xmlns="http://schemas.openxmlformats.org/spreadsheetml/2006/main" count="6159" uniqueCount="1929">
  <si>
    <t>114學年度二年期醫師畢業後一般醫學訓練計畫-PGY2</t>
    <phoneticPr fontId="7" type="noConversion"/>
  </si>
  <si>
    <t>學程</t>
  </si>
  <si>
    <t>學員姓名</t>
  </si>
  <si>
    <t>社區</t>
    <phoneticPr fontId="7" type="noConversion"/>
  </si>
  <si>
    <t>姓名</t>
  </si>
  <si>
    <t>第一志願</t>
    <phoneticPr fontId="5" type="noConversion"/>
  </si>
  <si>
    <t>選修1</t>
    <phoneticPr fontId="5" type="noConversion"/>
  </si>
  <si>
    <t>選修2</t>
    <phoneticPr fontId="5" type="noConversion"/>
  </si>
  <si>
    <t>選修3</t>
    <phoneticPr fontId="5" type="noConversion"/>
  </si>
  <si>
    <t>選修4</t>
    <phoneticPr fontId="5" type="noConversion"/>
  </si>
  <si>
    <t>選修5</t>
    <phoneticPr fontId="5" type="noConversion"/>
  </si>
  <si>
    <t>選修6</t>
    <phoneticPr fontId="5" type="noConversion"/>
  </si>
  <si>
    <t>Y1已受訓名單</t>
  </si>
  <si>
    <t>科別</t>
    <phoneticPr fontId="7" type="noConversion"/>
  </si>
  <si>
    <t>月份</t>
    <phoneticPr fontId="7" type="noConversion"/>
  </si>
  <si>
    <t>PGY2不-A01</t>
    <phoneticPr fontId="7" type="noConversion"/>
  </si>
  <si>
    <t>張汝禎</t>
  </si>
  <si>
    <t>老醫</t>
    <phoneticPr fontId="7" type="noConversion"/>
  </si>
  <si>
    <t>血液腫瘤科</t>
    <phoneticPr fontId="7" type="noConversion"/>
  </si>
  <si>
    <t>胃腸肝膽科</t>
    <phoneticPr fontId="7" type="noConversion"/>
  </si>
  <si>
    <t>心臟內科</t>
    <phoneticPr fontId="7" type="noConversion"/>
  </si>
  <si>
    <t>麻醉科</t>
  </si>
  <si>
    <t>復健科</t>
    <phoneticPr fontId="7" type="noConversion"/>
  </si>
  <si>
    <t>一般外科</t>
    <phoneticPr fontId="7" type="noConversion"/>
  </si>
  <si>
    <t>心臟外科</t>
    <phoneticPr fontId="7" type="noConversion"/>
  </si>
  <si>
    <t>急診科</t>
  </si>
  <si>
    <t>家庭醫學科</t>
  </si>
  <si>
    <t>放射診斷科</t>
    <phoneticPr fontId="7" type="noConversion"/>
  </si>
  <si>
    <t>婦產科(選)</t>
    <phoneticPr fontId="7" type="noConversion"/>
  </si>
  <si>
    <t>何權</t>
  </si>
  <si>
    <t>不分組</t>
  </si>
  <si>
    <t>腫瘤治療科</t>
  </si>
  <si>
    <t>核子醫學科</t>
  </si>
  <si>
    <t>病理檢驗科</t>
  </si>
  <si>
    <t>核子醫學科：</t>
    <phoneticPr fontId="7" type="noConversion"/>
  </si>
  <si>
    <t>孫印亭(11507)、張大中(11504)、古子明(11506)、吳家德(11503)、張乃文(11507)、李易淳(11411)、李昀庭(11506)、林紘睿(11408)、郭王雨田(11505)、林家助(11504)、黃孟捷(11410)、戴翊如(11412)、張汝禎(11409)</t>
    <phoneticPr fontId="7" type="noConversion"/>
  </si>
  <si>
    <t>童筱妍</t>
  </si>
  <si>
    <t>PGY2不-A02</t>
    <phoneticPr fontId="7" type="noConversion"/>
  </si>
  <si>
    <t>張晏植</t>
  </si>
  <si>
    <t>腎臟科</t>
    <phoneticPr fontId="7" type="noConversion"/>
  </si>
  <si>
    <t>感染科</t>
    <phoneticPr fontId="7" type="noConversion"/>
  </si>
  <si>
    <t>整形外科(選)</t>
    <phoneticPr fontId="7" type="noConversion"/>
  </si>
  <si>
    <t>整形外科</t>
    <phoneticPr fontId="7" type="noConversion"/>
  </si>
  <si>
    <t>眼科</t>
    <phoneticPr fontId="7" type="noConversion"/>
  </si>
  <si>
    <t>吳佳凌</t>
  </si>
  <si>
    <t>放射診斷科</t>
  </si>
  <si>
    <t>神經科(選)</t>
    <phoneticPr fontId="7" type="noConversion"/>
  </si>
  <si>
    <t>放射診斷科：</t>
    <phoneticPr fontId="7" type="noConversion"/>
  </si>
  <si>
    <t>張大中(11502)、李沛東(11411)、蔡侑辰(11410)、林靖瑄(11412)、林芷筠(11505)、何權(11506)、林俊毓(11410)、姜綾嵐(11503)、陳申霖(11408)</t>
    <phoneticPr fontId="7" type="noConversion"/>
  </si>
  <si>
    <t>張凱晴</t>
  </si>
  <si>
    <t>PGY2不-A03</t>
  </si>
  <si>
    <t>何權</t>
    <phoneticPr fontId="7" type="noConversion"/>
  </si>
  <si>
    <t>耳鼻喉科</t>
    <phoneticPr fontId="7" type="noConversion"/>
  </si>
  <si>
    <t>呂宗倫</t>
  </si>
  <si>
    <t>眼科</t>
  </si>
  <si>
    <t>精神科</t>
  </si>
  <si>
    <t>家庭醫學科：</t>
    <phoneticPr fontId="7" type="noConversion"/>
  </si>
  <si>
    <t>孫印亭(11411)、古子明(11505)、李沛東(11504)、楊承晧(11410)、羅義為(11412)、李昀庭(11408)、林紘睿(11501)、陳重佑(11503)、沈弘祥(11507)、郭王雨田(11511)、徐睿(11408)、張庭恩(11410)、林培育(11410)、姜綾嵐(11412)、楊祚昇(11501)、謝皓穎(11409)、戴翊如(11409)</t>
    <phoneticPr fontId="7" type="noConversion"/>
  </si>
  <si>
    <t>林承鋐</t>
    <phoneticPr fontId="7" type="noConversion"/>
  </si>
  <si>
    <t>PGY2不-A04</t>
  </si>
  <si>
    <t>林俊毓</t>
    <phoneticPr fontId="7" type="noConversion"/>
  </si>
  <si>
    <t>胸腔內科</t>
    <phoneticPr fontId="7" type="noConversion"/>
  </si>
  <si>
    <t>胸腔外科</t>
    <phoneticPr fontId="7" type="noConversion"/>
  </si>
  <si>
    <t>兒科(選)</t>
    <phoneticPr fontId="7" type="noConversion"/>
  </si>
  <si>
    <t>腫瘤治療科</t>
    <phoneticPr fontId="7" type="noConversion"/>
  </si>
  <si>
    <t>家庭醫學科</t>
    <phoneticPr fontId="7" type="noConversion"/>
  </si>
  <si>
    <t>李宣諠</t>
  </si>
  <si>
    <t>耳鼻喉科</t>
  </si>
  <si>
    <t>病理檢驗科：</t>
    <phoneticPr fontId="7" type="noConversion"/>
  </si>
  <si>
    <t>孫印亭(11410)</t>
    <phoneticPr fontId="7" type="noConversion"/>
  </si>
  <si>
    <t>延-吳家德</t>
    <phoneticPr fontId="7" type="noConversion"/>
  </si>
  <si>
    <t>PGY2不-A05</t>
  </si>
  <si>
    <t>林靖瑄</t>
  </si>
  <si>
    <t>復健科</t>
  </si>
  <si>
    <t>神經外科(選)</t>
    <phoneticPr fontId="7" type="noConversion"/>
  </si>
  <si>
    <t>急診科(選)</t>
    <phoneticPr fontId="7" type="noConversion"/>
  </si>
  <si>
    <t>沈弘祥</t>
  </si>
  <si>
    <t>腫瘤治療科：</t>
    <phoneticPr fontId="7" type="noConversion"/>
  </si>
  <si>
    <t>吳家德(11409)、羅義為(11505)、張汝禎(11408)</t>
    <phoneticPr fontId="7" type="noConversion"/>
  </si>
  <si>
    <t>蔡承睿</t>
  </si>
  <si>
    <t>PGY2不-A06</t>
  </si>
  <si>
    <t>沈韋齡</t>
  </si>
  <si>
    <t>林芳伃</t>
  </si>
  <si>
    <t>PGY2不-A07</t>
  </si>
  <si>
    <t>沈弘祥</t>
    <phoneticPr fontId="7" type="noConversion"/>
  </si>
  <si>
    <t>精神科</t>
    <phoneticPr fontId="7" type="noConversion"/>
  </si>
  <si>
    <t>林芷筠</t>
  </si>
  <si>
    <t>延-楊承晧</t>
    <phoneticPr fontId="7" type="noConversion"/>
  </si>
  <si>
    <t>PGY2不-A08</t>
  </si>
  <si>
    <t>張乃文</t>
  </si>
  <si>
    <t>林俊毓</t>
  </si>
  <si>
    <t>陳瑞呈</t>
  </si>
  <si>
    <t>PGY2不-A09</t>
  </si>
  <si>
    <t>林紘睿</t>
  </si>
  <si>
    <t>神經外科</t>
    <phoneticPr fontId="7" type="noConversion"/>
  </si>
  <si>
    <t>林威宏</t>
  </si>
  <si>
    <t>延-陳柏睿</t>
  </si>
  <si>
    <t>PGY2不-A10</t>
  </si>
  <si>
    <t>郭王雨田</t>
  </si>
  <si>
    <t>林家助</t>
  </si>
  <si>
    <t>PGY2不-A11</t>
  </si>
  <si>
    <t>謝皓穎</t>
  </si>
  <si>
    <t>病理檢驗科</t>
    <phoneticPr fontId="7" type="noConversion"/>
  </si>
  <si>
    <t>PGY2不-A12</t>
  </si>
  <si>
    <t>陳富宏</t>
  </si>
  <si>
    <t>骨科(選)</t>
    <phoneticPr fontId="7" type="noConversion"/>
  </si>
  <si>
    <t>PGY2不-A13</t>
  </si>
  <si>
    <t>張庭恩</t>
  </si>
  <si>
    <t>林蓁芸</t>
  </si>
  <si>
    <t>PGY2不-A14</t>
  </si>
  <si>
    <t>陳申霖</t>
    <phoneticPr fontId="7" type="noConversion"/>
  </si>
  <si>
    <t>徐睿</t>
  </si>
  <si>
    <t>PGY2不-A15</t>
  </si>
  <si>
    <t>PGY2不-A16</t>
  </si>
  <si>
    <t>陶孟昀</t>
    <phoneticPr fontId="7" type="noConversion"/>
  </si>
  <si>
    <t>PGY2不-A17</t>
  </si>
  <si>
    <t>麻醉科</t>
    <phoneticPr fontId="7" type="noConversion"/>
  </si>
  <si>
    <t>PGY2不-A18</t>
  </si>
  <si>
    <t>林芷筠</t>
    <phoneticPr fontId="7" type="noConversion"/>
  </si>
  <si>
    <t>PGY2不-A19</t>
  </si>
  <si>
    <t>PGY2不-A20</t>
  </si>
  <si>
    <t>林享辰</t>
    <phoneticPr fontId="7" type="noConversion"/>
  </si>
  <si>
    <t>陳申霖</t>
  </si>
  <si>
    <t>PGY2不-A21</t>
  </si>
  <si>
    <t>神經科</t>
    <phoneticPr fontId="7" type="noConversion"/>
  </si>
  <si>
    <t>小兒外科</t>
    <phoneticPr fontId="7" type="noConversion"/>
  </si>
  <si>
    <t>延-黃孟捷-11512升Y2</t>
    <phoneticPr fontId="7" type="noConversion"/>
  </si>
  <si>
    <t>社</t>
  </si>
  <si>
    <t>兒科</t>
    <phoneticPr fontId="7" type="noConversion"/>
  </si>
  <si>
    <t>急診科</t>
    <phoneticPr fontId="7" type="noConversion"/>
  </si>
  <si>
    <t>關渡</t>
    <phoneticPr fontId="7" type="noConversion"/>
  </si>
  <si>
    <t>內</t>
    <phoneticPr fontId="7" type="noConversion"/>
  </si>
  <si>
    <t>選</t>
    <phoneticPr fontId="7" type="noConversion"/>
  </si>
  <si>
    <t>陶孟昀</t>
  </si>
  <si>
    <t>PGY2不-A22</t>
  </si>
  <si>
    <t>延-林威宏-11602升Y2</t>
    <phoneticPr fontId="7" type="noConversion"/>
  </si>
  <si>
    <t>腎臟科</t>
  </si>
  <si>
    <t>一般醫學科</t>
    <phoneticPr fontId="7" type="noConversion"/>
  </si>
  <si>
    <t>胃腸肝膽科</t>
  </si>
  <si>
    <t>忠孝</t>
    <phoneticPr fontId="7" type="noConversion"/>
  </si>
  <si>
    <t>黃孟捷</t>
  </si>
  <si>
    <t>PGY2不-A23</t>
  </si>
  <si>
    <t>延-林蓁芸-11510升Y2</t>
    <phoneticPr fontId="7" type="noConversion"/>
  </si>
  <si>
    <t>泌尿科</t>
    <phoneticPr fontId="7" type="noConversion"/>
  </si>
  <si>
    <t>黃美璇</t>
  </si>
  <si>
    <t>PGY2不-A24</t>
  </si>
  <si>
    <t>延-呂宗倫-11604升Y2</t>
    <phoneticPr fontId="7" type="noConversion"/>
  </si>
  <si>
    <t>社</t>
    <phoneticPr fontId="7" type="noConversion"/>
  </si>
  <si>
    <t>謝昇峰</t>
  </si>
  <si>
    <t>PGY2不-A25</t>
  </si>
  <si>
    <t>延-謝昇峰-11512升Y2</t>
    <phoneticPr fontId="7" type="noConversion"/>
  </si>
  <si>
    <t>PGY2外-B01</t>
    <phoneticPr fontId="7" type="noConversion"/>
  </si>
  <si>
    <t>張鈺堂</t>
    <phoneticPr fontId="7" type="noConversion"/>
  </si>
  <si>
    <t>腫瘤治療科</t>
    <phoneticPr fontId="5" type="noConversion"/>
  </si>
  <si>
    <t>土城</t>
    <phoneticPr fontId="7" type="noConversion"/>
  </si>
  <si>
    <t>PGY2外-B02</t>
    <phoneticPr fontId="7" type="noConversion"/>
  </si>
  <si>
    <t>鄒曉揚</t>
    <phoneticPr fontId="7" type="noConversion"/>
  </si>
  <si>
    <t>新北</t>
    <phoneticPr fontId="7" type="noConversion"/>
  </si>
  <si>
    <t>林培育</t>
  </si>
  <si>
    <t>內科組</t>
  </si>
  <si>
    <t>PGY2外-B03</t>
    <phoneticPr fontId="7" type="noConversion"/>
  </si>
  <si>
    <t>延-楊萬暄-11512升Y2</t>
    <phoneticPr fontId="7" type="noConversion"/>
  </si>
  <si>
    <t>永耕</t>
    <phoneticPr fontId="7" type="noConversion"/>
  </si>
  <si>
    <t>姜綾嵐</t>
  </si>
  <si>
    <t>PGY2內-C01</t>
    <phoneticPr fontId="7" type="noConversion"/>
  </si>
  <si>
    <t>陳重佑</t>
    <phoneticPr fontId="7" type="noConversion"/>
  </si>
  <si>
    <t>胸腔內科(MICU)</t>
    <phoneticPr fontId="7" type="noConversion"/>
  </si>
  <si>
    <t>柯芊劭</t>
  </si>
  <si>
    <t>PGY2內-C02</t>
    <phoneticPr fontId="7" type="noConversion"/>
  </si>
  <si>
    <t>柯芊劭</t>
    <phoneticPr fontId="7" type="noConversion"/>
  </si>
  <si>
    <t>徐林陞</t>
  </si>
  <si>
    <t>PGY2內-C03</t>
    <phoneticPr fontId="7" type="noConversion"/>
  </si>
  <si>
    <t>徐林陞</t>
    <phoneticPr fontId="7" type="noConversion"/>
  </si>
  <si>
    <t>陳重佑</t>
  </si>
  <si>
    <t>PGY2內-C04</t>
    <phoneticPr fontId="7" type="noConversion"/>
  </si>
  <si>
    <t>姜綾嵐</t>
    <phoneticPr fontId="7" type="noConversion"/>
  </si>
  <si>
    <t>陽明</t>
    <phoneticPr fontId="7" type="noConversion"/>
  </si>
  <si>
    <t>楊祚昇</t>
  </si>
  <si>
    <t>急診醫學科</t>
  </si>
  <si>
    <t>PGY2內-C05</t>
    <phoneticPr fontId="7" type="noConversion"/>
  </si>
  <si>
    <t>延-戴翊如-11510升Y2</t>
    <phoneticPr fontId="7" type="noConversion"/>
  </si>
  <si>
    <t>婦產科</t>
    <phoneticPr fontId="7" type="noConversion"/>
  </si>
  <si>
    <t>戴翊如</t>
  </si>
  <si>
    <t>PGY2內-C06</t>
    <phoneticPr fontId="7" type="noConversion"/>
  </si>
  <si>
    <t>延-楊祚昇-11512升Y2</t>
    <phoneticPr fontId="7" type="noConversion"/>
  </si>
  <si>
    <t>胸腔內科</t>
  </si>
  <si>
    <t>臺安</t>
    <phoneticPr fontId="7" type="noConversion"/>
  </si>
  <si>
    <t>急</t>
    <phoneticPr fontId="7" type="noConversion"/>
  </si>
  <si>
    <t>張鈺堂</t>
  </si>
  <si>
    <t>外科組</t>
  </si>
  <si>
    <t>PGY2內-C07</t>
    <phoneticPr fontId="7" type="noConversion"/>
  </si>
  <si>
    <t>延-林培育-11512升Y2</t>
    <phoneticPr fontId="7" type="noConversion"/>
  </si>
  <si>
    <t>楊萬暄</t>
  </si>
  <si>
    <t>PGY2兒-E01</t>
    <phoneticPr fontId="7" type="noConversion"/>
  </si>
  <si>
    <t>李易淳</t>
    <phoneticPr fontId="7" type="noConversion"/>
  </si>
  <si>
    <t>鄒曉揚</t>
  </si>
  <si>
    <t>PGY2兒-E02</t>
    <phoneticPr fontId="7" type="noConversion"/>
  </si>
  <si>
    <t>李昀庭</t>
    <phoneticPr fontId="7" type="noConversion"/>
  </si>
  <si>
    <t>兒科組</t>
  </si>
  <si>
    <t>沈珍伊</t>
    <phoneticPr fontId="7" type="noConversion"/>
  </si>
  <si>
    <t>婦產科</t>
  </si>
  <si>
    <t>家庭醫學科</t>
    <phoneticPr fontId="5" type="noConversion"/>
  </si>
  <si>
    <t>113PGY2不-A12</t>
    <phoneticPr fontId="7" type="noConversion"/>
  </si>
  <si>
    <t>延-孫印亭-11510結訓</t>
    <phoneticPr fontId="7" type="noConversion"/>
  </si>
  <si>
    <t>113PGY2不-A13</t>
    <phoneticPr fontId="7" type="noConversion"/>
  </si>
  <si>
    <t>延-張大中-11511結訓</t>
    <phoneticPr fontId="7" type="noConversion"/>
  </si>
  <si>
    <t>延-張大中</t>
    <phoneticPr fontId="7" type="noConversion"/>
  </si>
  <si>
    <t>113PGY2不-A14</t>
    <phoneticPr fontId="7" type="noConversion"/>
  </si>
  <si>
    <t>延-古子明-11511結訓</t>
    <phoneticPr fontId="7" type="noConversion"/>
  </si>
  <si>
    <t>延-古子明</t>
    <phoneticPr fontId="7" type="noConversion"/>
  </si>
  <si>
    <t>核子醫學科</t>
    <phoneticPr fontId="7" type="noConversion"/>
  </si>
  <si>
    <t>113PGY2不-A17</t>
    <phoneticPr fontId="7" type="noConversion"/>
  </si>
  <si>
    <t>延-李沛東-11511結訓</t>
    <phoneticPr fontId="7" type="noConversion"/>
  </si>
  <si>
    <t>延-李沛東</t>
    <phoneticPr fontId="7" type="noConversion"/>
  </si>
  <si>
    <t>麻醉科(8、9月)</t>
    <phoneticPr fontId="7" type="noConversion"/>
  </si>
  <si>
    <t>113PGY2不-A19</t>
    <phoneticPr fontId="7" type="noConversion"/>
  </si>
  <si>
    <t>延-陳柏睿-11603結訓</t>
    <phoneticPr fontId="7" type="noConversion"/>
  </si>
  <si>
    <t>延-陳柏睿</t>
    <phoneticPr fontId="7" type="noConversion"/>
  </si>
  <si>
    <t>113PGY2不-A33</t>
    <phoneticPr fontId="7" type="noConversion"/>
  </si>
  <si>
    <t>延-吳家德-11508結訓</t>
    <phoneticPr fontId="7" type="noConversion"/>
  </si>
  <si>
    <t>延-陳玉霖</t>
    <phoneticPr fontId="7" type="noConversion"/>
  </si>
  <si>
    <t>112PGY2不-A17</t>
    <phoneticPr fontId="7" type="noConversion"/>
  </si>
  <si>
    <t>延-陳玉霖-11511結訓</t>
    <phoneticPr fontId="7" type="noConversion"/>
  </si>
  <si>
    <t>延-蔡侑辰</t>
    <phoneticPr fontId="7" type="noConversion"/>
  </si>
  <si>
    <t>內科組</t>
    <phoneticPr fontId="7" type="noConversion"/>
  </si>
  <si>
    <t>113PGY2內-C07</t>
  </si>
  <si>
    <t>延-毛振傑-11602結訓</t>
  </si>
  <si>
    <t>血液腫瘤科</t>
  </si>
  <si>
    <t>胸腔內科(MICU)</t>
  </si>
  <si>
    <t>心臟內科</t>
  </si>
  <si>
    <t>感染科</t>
  </si>
  <si>
    <t>113PGY2內-C08</t>
  </si>
  <si>
    <t>延-楊承晧-11508結訓</t>
  </si>
  <si>
    <t>113PGY2內-C09</t>
  </si>
  <si>
    <t>延-蔡侑辰-11602結訓</t>
  </si>
  <si>
    <t>113PGY2內-C10</t>
  </si>
  <si>
    <t>延-羅義為-11511結訓</t>
  </si>
  <si>
    <t>113PGY2婦-D03</t>
  </si>
  <si>
    <t>老醫</t>
  </si>
  <si>
    <t>Y2各科人數</t>
    <phoneticPr fontId="7" type="noConversion"/>
  </si>
  <si>
    <t>年月</t>
    <phoneticPr fontId="7" type="noConversion"/>
  </si>
  <si>
    <t>總數</t>
    <phoneticPr fontId="7" type="noConversion"/>
  </si>
  <si>
    <t>內</t>
  </si>
  <si>
    <t>大內科總人數</t>
    <phoneticPr fontId="7" type="noConversion"/>
  </si>
  <si>
    <t>外</t>
  </si>
  <si>
    <t>大外科總人數</t>
    <phoneticPr fontId="7" type="noConversion"/>
  </si>
  <si>
    <t>泌尿科(選)</t>
    <phoneticPr fontId="7" type="noConversion"/>
  </si>
  <si>
    <t>選修總人數</t>
    <phoneticPr fontId="7" type="noConversion"/>
  </si>
  <si>
    <t>115學年度二年期醫師畢業後一般醫學訓練計畫-PGY1</t>
    <phoneticPr fontId="7" type="noConversion"/>
  </si>
  <si>
    <t>第二志願</t>
    <phoneticPr fontId="5" type="noConversion"/>
  </si>
  <si>
    <t>第三志願</t>
    <phoneticPr fontId="5" type="noConversion"/>
  </si>
  <si>
    <t>PGY1-01</t>
    <phoneticPr fontId="7" type="noConversion"/>
  </si>
  <si>
    <t>張瓊心</t>
  </si>
  <si>
    <t>王柏心</t>
    <phoneticPr fontId="5" type="noConversion"/>
  </si>
  <si>
    <t>核子醫學科</t>
    <phoneticPr fontId="5" type="noConversion"/>
  </si>
  <si>
    <t>放射診斷科</t>
    <phoneticPr fontId="5" type="noConversion"/>
  </si>
  <si>
    <t>PGY1-02</t>
  </si>
  <si>
    <t>陳浩鋆</t>
  </si>
  <si>
    <t>眼科</t>
    <phoneticPr fontId="5" type="noConversion"/>
  </si>
  <si>
    <t>耳鼻喉科</t>
    <phoneticPr fontId="5" type="noConversion"/>
  </si>
  <si>
    <t>王暐翔</t>
  </si>
  <si>
    <t>PGY1-03</t>
  </si>
  <si>
    <t>盧昱辰</t>
  </si>
  <si>
    <t>中興</t>
    <phoneticPr fontId="7" type="noConversion"/>
  </si>
  <si>
    <t>石嘉憲</t>
  </si>
  <si>
    <t>泌尿科</t>
    <phoneticPr fontId="5" type="noConversion"/>
  </si>
  <si>
    <t>PGY1-04</t>
  </si>
  <si>
    <t>蕭又瑋</t>
  </si>
  <si>
    <t>吳卉莉</t>
  </si>
  <si>
    <t>復健科</t>
    <phoneticPr fontId="5" type="noConversion"/>
  </si>
  <si>
    <t>PGY1-05</t>
  </si>
  <si>
    <t>林云熙</t>
  </si>
  <si>
    <t>精神科</t>
    <phoneticPr fontId="5" type="noConversion"/>
  </si>
  <si>
    <t>吳孟耘</t>
  </si>
  <si>
    <t>PGY1-06</t>
  </si>
  <si>
    <t>程敬淇</t>
  </si>
  <si>
    <t>吳洛昀</t>
  </si>
  <si>
    <t>PGY1-07</t>
  </si>
  <si>
    <t>謝依庭</t>
  </si>
  <si>
    <t>吳灃晉</t>
  </si>
  <si>
    <t>神經科</t>
    <phoneticPr fontId="5" type="noConversion"/>
  </si>
  <si>
    <t>PGY1-08</t>
  </si>
  <si>
    <t>張保羅</t>
  </si>
  <si>
    <t>李怡蒨</t>
  </si>
  <si>
    <t>麻醉科</t>
    <phoneticPr fontId="5" type="noConversion"/>
  </si>
  <si>
    <t>PGY1-09</t>
  </si>
  <si>
    <t>李國瑋</t>
  </si>
  <si>
    <t>PGY1-10</t>
  </si>
  <si>
    <t>黃雅信</t>
  </si>
  <si>
    <t>PGY1-11</t>
  </si>
  <si>
    <t>詹翊筠</t>
  </si>
  <si>
    <t>林展屹</t>
  </si>
  <si>
    <t>PGY1-12</t>
  </si>
  <si>
    <t>張斯喬</t>
  </si>
  <si>
    <t>林睿晨</t>
  </si>
  <si>
    <t>整形外科</t>
    <phoneticPr fontId="5" type="noConversion"/>
  </si>
  <si>
    <t>骨科</t>
    <phoneticPr fontId="5" type="noConversion"/>
  </si>
  <si>
    <t>PGY1-13</t>
  </si>
  <si>
    <t>陳昀陞</t>
  </si>
  <si>
    <t>PGY1-14</t>
  </si>
  <si>
    <t>廖文豪</t>
  </si>
  <si>
    <t>PGY1-15</t>
  </si>
  <si>
    <t>病理檢驗科</t>
    <phoneticPr fontId="5" type="noConversion"/>
  </si>
  <si>
    <t>PGY1-16</t>
  </si>
  <si>
    <t>黃詩豪</t>
  </si>
  <si>
    <t>許博愷</t>
  </si>
  <si>
    <t>PGY1-17</t>
  </si>
  <si>
    <t>黃御鵬</t>
  </si>
  <si>
    <t>陳正倫</t>
  </si>
  <si>
    <t>PGY1-18</t>
  </si>
  <si>
    <t>黃璽宇</t>
  </si>
  <si>
    <t>PGY1-19</t>
  </si>
  <si>
    <t>陳泰元</t>
  </si>
  <si>
    <t>PGY1-20</t>
  </si>
  <si>
    <t>PGY1-21</t>
  </si>
  <si>
    <t>PGY1-22</t>
  </si>
  <si>
    <t>PGY1-23</t>
  </si>
  <si>
    <t>黃鈺雯</t>
  </si>
  <si>
    <t>PGY1-24</t>
  </si>
  <si>
    <t>PGY1-25</t>
  </si>
  <si>
    <t>楊書維</t>
  </si>
  <si>
    <t>PGY1-26</t>
  </si>
  <si>
    <t>PGY1-27</t>
  </si>
  <si>
    <t>蔡裕禮</t>
  </si>
  <si>
    <t>楊日恆</t>
  </si>
  <si>
    <t>PGY1-28</t>
  </si>
  <si>
    <t>鍾冠恩</t>
  </si>
  <si>
    <t>PGY1-29</t>
  </si>
  <si>
    <t>董冠慶</t>
  </si>
  <si>
    <t>PGY1-30</t>
  </si>
  <si>
    <t>PGY1-31</t>
  </si>
  <si>
    <t>PGY1-32</t>
  </si>
  <si>
    <t>PGY1-33</t>
  </si>
  <si>
    <t>PGY1-34</t>
  </si>
  <si>
    <t>PGY1-35</t>
  </si>
  <si>
    <t>PGY1-36</t>
  </si>
  <si>
    <t>骨科(選)</t>
  </si>
  <si>
    <t>台東馬偕</t>
    <phoneticPr fontId="7" type="noConversion"/>
  </si>
  <si>
    <t>和信醫院
代訓學員</t>
    <phoneticPr fontId="7" type="noConversion"/>
  </si>
  <si>
    <t>月份/科別</t>
    <phoneticPr fontId="7" type="noConversion"/>
  </si>
  <si>
    <t>急診醫學科</t>
    <phoneticPr fontId="7" type="noConversion"/>
  </si>
  <si>
    <t>陳信凱</t>
  </si>
  <si>
    <t>王子維</t>
  </si>
  <si>
    <t>王亭絜</t>
  </si>
  <si>
    <t>總人數</t>
    <phoneticPr fontId="7" type="noConversion"/>
  </si>
  <si>
    <t>PGY2婦-D01</t>
    <phoneticPr fontId="5" type="noConversion"/>
  </si>
  <si>
    <t>臺安</t>
    <phoneticPr fontId="5" type="noConversion"/>
  </si>
  <si>
    <t>必修+選修</t>
    <phoneticPr fontId="5" type="noConversion"/>
  </si>
  <si>
    <t>所有選修</t>
    <phoneticPr fontId="5" type="noConversion"/>
  </si>
  <si>
    <t>全體人數</t>
    <phoneticPr fontId="5" type="noConversion"/>
  </si>
  <si>
    <t>姓名</t>
    <phoneticPr fontId="15" type="noConversion"/>
  </si>
  <si>
    <t>身分證字號</t>
    <phoneticPr fontId="15" type="noConversion"/>
  </si>
  <si>
    <t>性別</t>
    <phoneticPr fontId="15" type="noConversion"/>
  </si>
  <si>
    <t>出生日期</t>
    <phoneticPr fontId="15" type="noConversion"/>
  </si>
  <si>
    <t>國籍</t>
    <phoneticPr fontId="15" type="noConversion"/>
  </si>
  <si>
    <t>畢業學校</t>
    <phoneticPr fontId="15" type="noConversion"/>
  </si>
  <si>
    <t>畢業學系</t>
    <phoneticPr fontId="15" type="noConversion"/>
  </si>
  <si>
    <t>畢業年度</t>
    <phoneticPr fontId="15" type="noConversion"/>
  </si>
  <si>
    <t>連絡電話</t>
    <phoneticPr fontId="15" type="noConversion"/>
  </si>
  <si>
    <t>E-mail</t>
    <phoneticPr fontId="15" type="noConversion"/>
  </si>
  <si>
    <t>通訊地址</t>
    <phoneticPr fontId="15" type="noConversion"/>
  </si>
  <si>
    <t>兵役狀況</t>
    <phoneticPr fontId="15" type="noConversion"/>
  </si>
  <si>
    <t>退伍日期</t>
    <phoneticPr fontId="15" type="noConversion"/>
  </si>
  <si>
    <t>選配年度</t>
    <phoneticPr fontId="15" type="noConversion"/>
  </si>
  <si>
    <t>選配類型</t>
    <phoneticPr fontId="15" type="noConversion"/>
  </si>
  <si>
    <t xml:space="preserve">何權                </t>
  </si>
  <si>
    <t>A170107748</t>
  </si>
  <si>
    <t>男</t>
  </si>
  <si>
    <t>089/09/30</t>
  </si>
  <si>
    <t>臺灣，中華民國</t>
  </si>
  <si>
    <t>臺北醫學大學</t>
  </si>
  <si>
    <t>醫學系</t>
  </si>
  <si>
    <t xml:space="preserve">       114</t>
  </si>
  <si>
    <t>0937069768</t>
  </si>
  <si>
    <t>b101108131@tmu.edu.tw</t>
  </si>
  <si>
    <t>106 台北市大安區龍坡里11鄰和平東路一段248巷16號二樓</t>
  </si>
  <si>
    <t>體位判定申請中</t>
  </si>
  <si>
    <t>PGY</t>
  </si>
  <si>
    <t xml:space="preserve">吳佳凌              </t>
  </si>
  <si>
    <t>Q224365862</t>
  </si>
  <si>
    <t>女</t>
  </si>
  <si>
    <t>090/07/02</t>
  </si>
  <si>
    <t>輔仁大學醫學院</t>
  </si>
  <si>
    <t>0929300168</t>
  </si>
  <si>
    <t>chialing9007@gmail.com</t>
  </si>
  <si>
    <t>600 嘉義市西　區嘉義市西區安東一街46號3樓之一</t>
  </si>
  <si>
    <t/>
  </si>
  <si>
    <t xml:space="preserve">呂宗倫              </t>
  </si>
  <si>
    <t>A129678716</t>
  </si>
  <si>
    <t>088/01/29</t>
  </si>
  <si>
    <t>0937608616</t>
  </si>
  <si>
    <t>tp963707@gmail.com</t>
  </si>
  <si>
    <t>104 台北市中山區明水路425號一樓</t>
  </si>
  <si>
    <t>預計申請「延期徵集入營」</t>
  </si>
  <si>
    <t xml:space="preserve">李昀庭              </t>
  </si>
  <si>
    <t>A230417427</t>
  </si>
  <si>
    <t>088/01/14</t>
  </si>
  <si>
    <t>0919159792</t>
  </si>
  <si>
    <t>alicelee77tw@gmail.com</t>
  </si>
  <si>
    <t>221 新北市汐止區明峰街281號8樓</t>
  </si>
  <si>
    <t>李易淳</t>
  </si>
  <si>
    <t>A227961238</t>
  </si>
  <si>
    <t>087/06/18</t>
  </si>
  <si>
    <t>高雄醫學大學醫學院</t>
  </si>
  <si>
    <t>學士後醫學系</t>
  </si>
  <si>
    <t>0975915008</t>
  </si>
  <si>
    <t>treasure90527@gmail.com</t>
  </si>
  <si>
    <t>111 台北市士林區中正路339號10樓</t>
  </si>
  <si>
    <t>F230072825</t>
  </si>
  <si>
    <t>090/01/18</t>
  </si>
  <si>
    <t>國防醫學院</t>
  </si>
  <si>
    <t>0978393782</t>
  </si>
  <si>
    <t>sandy900118@gmail.com</t>
  </si>
  <si>
    <t>231 新北市新店區北宜路一段200號</t>
  </si>
  <si>
    <t xml:space="preserve">沈弘祥              </t>
  </si>
  <si>
    <t>B123427805</t>
  </si>
  <si>
    <t>090/02/25</t>
  </si>
  <si>
    <t>長庚大學醫學院</t>
  </si>
  <si>
    <t>0963528578</t>
  </si>
  <si>
    <t>ericshen900225@gmail.com</t>
  </si>
  <si>
    <t>412 臺中市大里區樹王路208巷10號</t>
  </si>
  <si>
    <t>已退伍</t>
  </si>
  <si>
    <t>A230102350</t>
  </si>
  <si>
    <t>090/03/08</t>
  </si>
  <si>
    <t>0963517214</t>
  </si>
  <si>
    <t>kepig0909@gmail.com</t>
  </si>
  <si>
    <t>108 台北市萬華區民和街96號9樓之一</t>
  </si>
  <si>
    <t xml:space="preserve">林享辰              </t>
  </si>
  <si>
    <t>O100619585</t>
  </si>
  <si>
    <t>090/06/12</t>
  </si>
  <si>
    <t>0988927449</t>
  </si>
  <si>
    <t>linsiangchen@gmail.com</t>
  </si>
  <si>
    <t>300 新竹市北　區武陵里17鄰武陵路61巷3弄15號</t>
  </si>
  <si>
    <t xml:space="preserve">林芷筠              </t>
  </si>
  <si>
    <t>F230445177</t>
  </si>
  <si>
    <t>090/07/16</t>
  </si>
  <si>
    <t>0983134236</t>
  </si>
  <si>
    <t>cherrylin2411@gmail.com</t>
  </si>
  <si>
    <t>243 新北市泰山區泰林路二段492-1號1樓</t>
  </si>
  <si>
    <t>S125119695</t>
  </si>
  <si>
    <t>088/01/17</t>
  </si>
  <si>
    <t>0988270165</t>
  </si>
  <si>
    <t>qaswe985405@gmail.com</t>
  </si>
  <si>
    <t>801 高雄市前金區中華三路214巷31號</t>
  </si>
  <si>
    <t>免役</t>
  </si>
  <si>
    <t>B123408275</t>
  </si>
  <si>
    <t>089/02/14</t>
  </si>
  <si>
    <t>中山醫學大學醫學院</t>
  </si>
  <si>
    <t>0918992930</t>
  </si>
  <si>
    <t>lwhgilbertlin@gmail.com</t>
  </si>
  <si>
    <t>402 臺中市南　區台中市南區南陽街93號6樓之4</t>
  </si>
  <si>
    <t xml:space="preserve">林家助              </t>
  </si>
  <si>
    <t>H125233558</t>
  </si>
  <si>
    <t>087/02/05</t>
  </si>
  <si>
    <t xml:space="preserve">       113</t>
  </si>
  <si>
    <t>0988893329</t>
  </si>
  <si>
    <t>awdrgy741852@gmail.com</t>
  </si>
  <si>
    <t>220 新北市板橋區中正路151號12樓</t>
  </si>
  <si>
    <t>O100551659</t>
  </si>
  <si>
    <t>088/09/01</t>
  </si>
  <si>
    <t>國立臺灣大學醫學院</t>
  </si>
  <si>
    <t>0966563617</t>
  </si>
  <si>
    <t>b08401109@ntu.edu.tw</t>
  </si>
  <si>
    <t>300 新竹市東　區東光路33號9樓</t>
  </si>
  <si>
    <t>A130565113</t>
  </si>
  <si>
    <t>090/07/06</t>
  </si>
  <si>
    <t>0917636180</t>
  </si>
  <si>
    <t>perry69518@gmail.com</t>
  </si>
  <si>
    <t>333 桃園市龜山區樂學路149號6樓</t>
  </si>
  <si>
    <t>F230577450</t>
  </si>
  <si>
    <t>090/03/28</t>
  </si>
  <si>
    <t>國立陽明交通大學醫學院</t>
  </si>
  <si>
    <t>0965068813</t>
  </si>
  <si>
    <t>michellelin900328@gmail.com</t>
  </si>
  <si>
    <t>108 台北市萬華區寶興街65巷6號4樓</t>
  </si>
  <si>
    <t xml:space="preserve">林蓁芸              </t>
  </si>
  <si>
    <t>F229606566</t>
  </si>
  <si>
    <t>086/10/31</t>
  </si>
  <si>
    <t>中國醫藥大學醫學院醫學系</t>
  </si>
  <si>
    <t>中醫學系選醫學系雙主修</t>
  </si>
  <si>
    <t>0958916819</t>
  </si>
  <si>
    <t>differentbeat06@gmail.com</t>
  </si>
  <si>
    <t>40459 臺中市北　區五常街380號15樓之15</t>
  </si>
  <si>
    <t>J222971938</t>
  </si>
  <si>
    <t>089/10/14</t>
  </si>
  <si>
    <t>成功大學醫學院</t>
  </si>
  <si>
    <t>0966694159</t>
  </si>
  <si>
    <t>lennie1014@gmail.com</t>
  </si>
  <si>
    <t>704 臺南市北區長榮路四段31巷23弄33號五樓</t>
  </si>
  <si>
    <t>F230357636</t>
  </si>
  <si>
    <t>089/07/14</t>
  </si>
  <si>
    <t>0921612618</t>
  </si>
  <si>
    <t>maniko0313@gmail.com</t>
  </si>
  <si>
    <t>110 台北市信義區松德路104號四樓之一</t>
  </si>
  <si>
    <t xml:space="preserve">徐林陞              </t>
  </si>
  <si>
    <t>A130544990</t>
  </si>
  <si>
    <t>089/02/28</t>
  </si>
  <si>
    <t>0965138853</t>
  </si>
  <si>
    <t>linsunshu@gmail.com</t>
  </si>
  <si>
    <t>104 台北市中山區民權東路三段六十巷三弄五號五樓</t>
  </si>
  <si>
    <t>F130310828</t>
  </si>
  <si>
    <t>089/08/25</t>
  </si>
  <si>
    <t>0975851696</t>
  </si>
  <si>
    <t>st9504277@gmail.com</t>
  </si>
  <si>
    <t>242 新北市新莊區福壽街99巷13弄8號3樓</t>
  </si>
  <si>
    <t>服役中</t>
  </si>
  <si>
    <t xml:space="preserve">高宜柔              </t>
  </si>
  <si>
    <t>L225382130</t>
  </si>
  <si>
    <t>090/07/26</t>
  </si>
  <si>
    <t>0937725163</t>
  </si>
  <si>
    <t>girl510461@gmail.com</t>
  </si>
  <si>
    <t>427 臺中市潭子區大通街113巷10號</t>
  </si>
  <si>
    <t xml:space="preserve">張乃文              </t>
  </si>
  <si>
    <t>F230455539</t>
  </si>
  <si>
    <t>089/03/28</t>
  </si>
  <si>
    <t>0909396985</t>
  </si>
  <si>
    <t>nina61024@gmail.com</t>
  </si>
  <si>
    <t>238 新北市樹林區學府路352號15樓</t>
  </si>
  <si>
    <t>A230475063</t>
  </si>
  <si>
    <t>090/01/07</t>
  </si>
  <si>
    <t>0912392696</t>
  </si>
  <si>
    <t>jamie10939@gmail.com</t>
  </si>
  <si>
    <t>220 新北市板橋區文聖街158號10樓之二</t>
  </si>
  <si>
    <t xml:space="preserve">張庭恩              </t>
  </si>
  <si>
    <t>F129938132</t>
  </si>
  <si>
    <t>088/03/14</t>
  </si>
  <si>
    <t xml:space="preserve">       112</t>
  </si>
  <si>
    <t>0920321051</t>
  </si>
  <si>
    <t>a06060337@gmail.com</t>
  </si>
  <si>
    <t>112 台北市北投區東華街一段504號4樓</t>
  </si>
  <si>
    <t xml:space="preserve">張晏植              </t>
  </si>
  <si>
    <t>A127540639</t>
  </si>
  <si>
    <t>087/02/08</t>
  </si>
  <si>
    <t>0972363177</t>
  </si>
  <si>
    <t>v52044870208@gmail.com</t>
  </si>
  <si>
    <t>116 台北市文山區辛亥路4段222巷17號3樓</t>
  </si>
  <si>
    <t>A130795497</t>
  </si>
  <si>
    <t>089/05/03</t>
  </si>
  <si>
    <t>0912106062</t>
  </si>
  <si>
    <t>b101108034@tmu.edu.tw</t>
  </si>
  <si>
    <t>108 台北市萬華區環河南路二段145號5樓之2</t>
  </si>
  <si>
    <t>P124539805</t>
  </si>
  <si>
    <t>090/05/20</t>
  </si>
  <si>
    <t>0910353346</t>
  </si>
  <si>
    <t>kerry900520@gmail.com</t>
  </si>
  <si>
    <t>631 雲林縣大埤鄉興安村四鄰興安50號</t>
  </si>
  <si>
    <t xml:space="preserve">陳申霖              </t>
  </si>
  <si>
    <t>P124251075</t>
  </si>
  <si>
    <t>083/03/23</t>
  </si>
  <si>
    <t>0909088328</t>
  </si>
  <si>
    <t>frankdtss0323@gmail.com</t>
  </si>
  <si>
    <t>632 雲林縣虎尾鎮大成十七街12號</t>
  </si>
  <si>
    <t>T124475980</t>
  </si>
  <si>
    <t>086/10/14</t>
  </si>
  <si>
    <t>0923583166</t>
  </si>
  <si>
    <t>yorick861014@gmail.com</t>
  </si>
  <si>
    <t>268 宜蘭縣五結鄉五結村一鄰自強路42巷15之16號</t>
  </si>
  <si>
    <t>A128521852</t>
  </si>
  <si>
    <t>088/12/13</t>
  </si>
  <si>
    <t>馬偕學校財團法人馬偕醫學院</t>
  </si>
  <si>
    <t>0960351213</t>
  </si>
  <si>
    <t>fuhongc989@gmail.com</t>
  </si>
  <si>
    <t>111 台北市士林區德行東路104巷9弄9號4樓</t>
  </si>
  <si>
    <t xml:space="preserve">陶孟昀              </t>
  </si>
  <si>
    <t>F228768370</t>
  </si>
  <si>
    <t>084/08/04</t>
  </si>
  <si>
    <t>慈濟大學醫學院</t>
  </si>
  <si>
    <t>0987565267</t>
  </si>
  <si>
    <t>109311130@gms.tcu.edu.tw</t>
  </si>
  <si>
    <t>235 新北市中和區中原東街89號4樓</t>
  </si>
  <si>
    <t>F130711209</t>
  </si>
  <si>
    <t>090/03/21</t>
  </si>
  <si>
    <t>0909914321</t>
  </si>
  <si>
    <t>smallsoo0321@gmail.com</t>
  </si>
  <si>
    <t>239 新北市鶯歌區尖山埔路62號</t>
  </si>
  <si>
    <t xml:space="preserve">黃美璇              </t>
  </si>
  <si>
    <t>A228611193</t>
  </si>
  <si>
    <t>082/08/24</t>
  </si>
  <si>
    <t>波茲南醫學大學</t>
  </si>
  <si>
    <t>0983589335</t>
  </si>
  <si>
    <t>ivy6034@gmail.com</t>
  </si>
  <si>
    <t>112 台北市北投區義理街63巷4弄13-1號2樓</t>
  </si>
  <si>
    <t xml:space="preserve">楊祚昇              </t>
  </si>
  <si>
    <t>H125378249</t>
  </si>
  <si>
    <t>088/09/04</t>
  </si>
  <si>
    <t>0984344705</t>
  </si>
  <si>
    <t>david40201@gmail.com</t>
  </si>
  <si>
    <t>320 桃園市中壢區白馬莊119號二樓</t>
  </si>
  <si>
    <t xml:space="preserve">楊萬暄              </t>
  </si>
  <si>
    <t>H125182065</t>
  </si>
  <si>
    <t>088/11/07</t>
  </si>
  <si>
    <t>0979017375</t>
  </si>
  <si>
    <t>sean8811760@gmail.com</t>
  </si>
  <si>
    <t>112 台北市北投區承德路七段342之1號6樓</t>
  </si>
  <si>
    <t xml:space="preserve">鄒曉揚              </t>
  </si>
  <si>
    <t>AA30268233</t>
  </si>
  <si>
    <t>086/02/20</t>
  </si>
  <si>
    <t>香港</t>
  </si>
  <si>
    <t>0979125615</t>
  </si>
  <si>
    <t>hubertchau@icloud.com</t>
  </si>
  <si>
    <t>11221 台北市北投區臺北市北投區立農街2段155號</t>
  </si>
  <si>
    <t>J222963632</t>
  </si>
  <si>
    <t>089/05/06</t>
  </si>
  <si>
    <t>0909358869</t>
  </si>
  <si>
    <t>a0909358869@gmail.com</t>
  </si>
  <si>
    <t>30286 新竹縣竹北市勝利八街一段185號11樓</t>
  </si>
  <si>
    <t>F130920833</t>
  </si>
  <si>
    <t>089/11/20</t>
  </si>
  <si>
    <t>0918320561</t>
  </si>
  <si>
    <t>a0918320561@gmail.com</t>
  </si>
  <si>
    <t>235 新北市中和區中正路829號9樓之五</t>
  </si>
  <si>
    <t>A230606639</t>
  </si>
  <si>
    <t>089/11/01</t>
  </si>
  <si>
    <t>0918389630</t>
  </si>
  <si>
    <t>irishorace1101@gmail.com</t>
  </si>
  <si>
    <t>10850 台北市萬華區貴陽街二段33號4樓之6</t>
  </si>
  <si>
    <t>孫印亭</t>
  </si>
  <si>
    <t>N225840657</t>
  </si>
  <si>
    <t>084/12/14</t>
  </si>
  <si>
    <t>盧布林醫學大學</t>
  </si>
  <si>
    <t xml:space="preserve">       109</t>
  </si>
  <si>
    <t>0960581168</t>
  </si>
  <si>
    <t>winnie168best@gmail.com</t>
  </si>
  <si>
    <t>407 臺中市西屯區惠來路二段88號15樓之3</t>
  </si>
  <si>
    <t>PGY</t>
    <phoneticPr fontId="15" type="noConversion"/>
  </si>
  <si>
    <t>陳玉霖</t>
    <phoneticPr fontId="15" type="noConversion"/>
  </si>
  <si>
    <t>M122811375</t>
    <phoneticPr fontId="15" type="noConversion"/>
  </si>
  <si>
    <t>男</t>
    <phoneticPr fontId="15" type="noConversion"/>
  </si>
  <si>
    <t>086/09/30</t>
    <phoneticPr fontId="15" type="noConversion"/>
  </si>
  <si>
    <t>臺灣，中華民國</t>
    <phoneticPr fontId="15" type="noConversion"/>
  </si>
  <si>
    <t>國立陽明交通大學醫學院</t>
    <phoneticPr fontId="15" type="noConversion"/>
  </si>
  <si>
    <t>醫學系</t>
    <phoneticPr fontId="15" type="noConversion"/>
  </si>
  <si>
    <t xml:space="preserve">       111</t>
    <phoneticPr fontId="15" type="noConversion"/>
  </si>
  <si>
    <t>0979438039</t>
    <phoneticPr fontId="15" type="noConversion"/>
  </si>
  <si>
    <t>spidergary40603@gmail.com</t>
    <phoneticPr fontId="15" type="noConversion"/>
  </si>
  <si>
    <t>11472 台北市內湖區內湖路二段235巷6號8樓之一</t>
    <phoneticPr fontId="15" type="noConversion"/>
  </si>
  <si>
    <t>服役中</t>
    <phoneticPr fontId="15" type="noConversion"/>
  </si>
  <si>
    <t>112/02/23</t>
    <phoneticPr fontId="15" type="noConversion"/>
  </si>
  <si>
    <t>2023</t>
    <phoneticPr fontId="15" type="noConversion"/>
  </si>
  <si>
    <t>毛振傑</t>
  </si>
  <si>
    <t>A131104758</t>
  </si>
  <si>
    <t>089/03/22</t>
  </si>
  <si>
    <t>0988684053</t>
  </si>
  <si>
    <t>jhenjiemao0322@gmail.com</t>
  </si>
  <si>
    <t>114 台北市內湖區內湖路三段60巷12弄77號一樓之三</t>
  </si>
  <si>
    <t>古子明</t>
  </si>
  <si>
    <t>V121660514</t>
  </si>
  <si>
    <t>089/03/30</t>
  </si>
  <si>
    <t>0978086064</t>
  </si>
  <si>
    <t>robert81616@gmail.com</t>
  </si>
  <si>
    <t>953 台東縣延平鄉桃源村3鄰67-1號</t>
  </si>
  <si>
    <t>吳家德</t>
  </si>
  <si>
    <t>H125651145</t>
  </si>
  <si>
    <t>089/05/13</t>
  </si>
  <si>
    <t>0926127101</t>
  </si>
  <si>
    <t>plusder513@gmail.com</t>
  </si>
  <si>
    <t>32446 桃園市平鎮區育達路85巷28號2樓</t>
  </si>
  <si>
    <t>李沛東</t>
    <phoneticPr fontId="15" type="noConversion"/>
  </si>
  <si>
    <t>H125459749</t>
  </si>
  <si>
    <t>089/01/22</t>
  </si>
  <si>
    <t>0938313822</t>
  </si>
  <si>
    <t>107311150@gms.tcu.edu.tw</t>
  </si>
  <si>
    <t>320 桃園市中壢區中北路28巷15號4樓</t>
  </si>
  <si>
    <t>張大中</t>
  </si>
  <si>
    <t>A128480810</t>
  </si>
  <si>
    <t>086/11/21</t>
  </si>
  <si>
    <t>0928820438</t>
  </si>
  <si>
    <t>changtc616@gmail.com</t>
  </si>
  <si>
    <t>111 台北市士林區忠誠路二段26號9樓</t>
  </si>
  <si>
    <t>郭彥希</t>
  </si>
  <si>
    <t>A130925628</t>
  </si>
  <si>
    <t>089/01/13</t>
  </si>
  <si>
    <t>0963575201</t>
  </si>
  <si>
    <t>lkk278446@gmail.com</t>
  </si>
  <si>
    <t>116 台北市文山區一壽街58號9樓</t>
  </si>
  <si>
    <t>楊承晧</t>
  </si>
  <si>
    <t>G122321407</t>
  </si>
  <si>
    <t>088/09/25</t>
  </si>
  <si>
    <t>0961169600</t>
  </si>
  <si>
    <t>yangchenghow@gmail.com</t>
  </si>
  <si>
    <t>264 宜蘭縣員山鄉金山東路386巷18號</t>
  </si>
  <si>
    <t>蔡侑辰</t>
  </si>
  <si>
    <t>A130847101</t>
  </si>
  <si>
    <t>087/02/26</t>
  </si>
  <si>
    <t>0985540338</t>
  </si>
  <si>
    <t>jimmystar0226@gmail.com</t>
  </si>
  <si>
    <t>114 台北市內湖區葫洲里民權東路六段296巷38-3號5樓</t>
  </si>
  <si>
    <t>羅義為</t>
  </si>
  <si>
    <t>A126894138</t>
  </si>
  <si>
    <t>087/12/05</t>
  </si>
  <si>
    <t>0971735701</t>
  </si>
  <si>
    <t>lanlanwolf@gmail.com</t>
  </si>
  <si>
    <t>106 台北市大安區信義路三段134巷52號十樓</t>
  </si>
  <si>
    <t>陳柏睿</t>
    <phoneticPr fontId="15" type="noConversion"/>
  </si>
  <si>
    <t>F130181756</t>
  </si>
  <si>
    <t>088/06/03</t>
  </si>
  <si>
    <t>0965250739</t>
  </si>
  <si>
    <t>ray26718700@gmail.com</t>
  </si>
  <si>
    <t>23741 新北市三峽區中山路277巷17號3樓</t>
  </si>
  <si>
    <t>身分證字號</t>
  </si>
  <si>
    <t>出生</t>
    <phoneticPr fontId="15" type="noConversion"/>
  </si>
  <si>
    <t>性別</t>
  </si>
  <si>
    <t>出生日期</t>
  </si>
  <si>
    <t>國籍</t>
  </si>
  <si>
    <t>畢業學校</t>
  </si>
  <si>
    <t>畢業學系</t>
  </si>
  <si>
    <t>畢業年度</t>
  </si>
  <si>
    <t>行動電話</t>
  </si>
  <si>
    <t>E-mail</t>
  </si>
  <si>
    <t>兵役狀況</t>
  </si>
  <si>
    <t>退伍日期</t>
  </si>
  <si>
    <t>通訊地址</t>
  </si>
  <si>
    <t>備註</t>
  </si>
  <si>
    <t>H225347666</t>
  </si>
  <si>
    <t>王思涵</t>
  </si>
  <si>
    <t>089/04/30</t>
  </si>
  <si>
    <t xml:space="preserve">       115</t>
  </si>
  <si>
    <t>0963525050</t>
  </si>
  <si>
    <t>WangSelina71731@gmail.com</t>
  </si>
  <si>
    <t>338 桃園市蘆竹區南順七街24號3樓</t>
  </si>
  <si>
    <t>F229748185</t>
  </si>
  <si>
    <t>王柏心</t>
  </si>
  <si>
    <t>0981930122</t>
  </si>
  <si>
    <t>s0956310122@gmail.com</t>
  </si>
  <si>
    <t>242 新北市新莊區中智街58號2樓</t>
  </si>
  <si>
    <t>F131344846</t>
  </si>
  <si>
    <t>090/04/02</t>
  </si>
  <si>
    <t>0989967297</t>
  </si>
  <si>
    <t>legendary60711@gmail.com</t>
  </si>
  <si>
    <t>115/04/09</t>
  </si>
  <si>
    <t>237 新北市三峽區民生街1巷3之7號</t>
  </si>
  <si>
    <t>N126616180</t>
  </si>
  <si>
    <t>091/01/21</t>
  </si>
  <si>
    <t>0900763654</t>
  </si>
  <si>
    <t>stone31002@gmail.com</t>
  </si>
  <si>
    <t>510 彰化縣員林鎮員大路一段203號</t>
  </si>
  <si>
    <t>A227973078</t>
  </si>
  <si>
    <t>088/03/23</t>
  </si>
  <si>
    <t>0965519565</t>
  </si>
  <si>
    <t>109311115@gms.tcu.edu.tw</t>
  </si>
  <si>
    <t xml:space="preserve"> </t>
  </si>
  <si>
    <t>A230322165</t>
  </si>
  <si>
    <t>091/04/23</t>
  </si>
  <si>
    <t>0928517366</t>
  </si>
  <si>
    <t>happyruby333@gmail.com</t>
  </si>
  <si>
    <t>105030 台北市松山區健康路191-1號7樓</t>
  </si>
  <si>
    <t>A230546165</t>
  </si>
  <si>
    <t>090/09/29</t>
  </si>
  <si>
    <t>0983020913</t>
  </si>
  <si>
    <t>b101109062@tmu.edu.tw</t>
  </si>
  <si>
    <t>116 台北市文山區木柵路一段191巷60號5樓</t>
  </si>
  <si>
    <t>無</t>
  </si>
  <si>
    <t>P124482614</t>
  </si>
  <si>
    <t>089/10/31</t>
  </si>
  <si>
    <t>0905925336</t>
  </si>
  <si>
    <t>norman.wu9604@gmail.com</t>
  </si>
  <si>
    <t>408 臺中市南屯區南屯路二段500號4樓</t>
  </si>
  <si>
    <t>I200477631</t>
  </si>
  <si>
    <t>090/01/15</t>
  </si>
  <si>
    <t>0918352122</t>
  </si>
  <si>
    <t>feather0805030@gmail.com</t>
  </si>
  <si>
    <t>600 嘉義市西　區西榮街275號</t>
  </si>
  <si>
    <t>P124618552</t>
  </si>
  <si>
    <t>091/02/28</t>
  </si>
  <si>
    <t>0902290665</t>
  </si>
  <si>
    <t>jackissnowman@gmail.com</t>
  </si>
  <si>
    <t>408032 臺中市南屯區大墩十四街311號3樓</t>
  </si>
  <si>
    <t>H225812588</t>
  </si>
  <si>
    <t>102/05/16</t>
  </si>
  <si>
    <t>0936925168</t>
  </si>
  <si>
    <t>isabel0516777@gmail.com</t>
  </si>
  <si>
    <t>334 桃園市八德區公園路57號8樓</t>
  </si>
  <si>
    <t>P124562377</t>
  </si>
  <si>
    <t>090/10/16</t>
  </si>
  <si>
    <t>0988819816</t>
  </si>
  <si>
    <t>chani901016@gmail.com</t>
  </si>
  <si>
    <t>247 新北市蘆洲區重陽一街15之5號13樓</t>
  </si>
  <si>
    <t>A131451887</t>
  </si>
  <si>
    <t>089/03/24</t>
  </si>
  <si>
    <t>0909356716</t>
  </si>
  <si>
    <t>rayray60512@gmail.com</t>
  </si>
  <si>
    <t>預計申請「延期徵集入營」</t>
    <phoneticPr fontId="15" type="noConversion"/>
  </si>
  <si>
    <t>112 台北市北投區泉源路39-41號地下一樓</t>
  </si>
  <si>
    <t>A131482506</t>
  </si>
  <si>
    <t>090/12/31</t>
  </si>
  <si>
    <t>馬偕學校財團法人馬偕醫學大學</t>
  </si>
  <si>
    <t>0968726737</t>
  </si>
  <si>
    <t>0630paul@gmail.com</t>
  </si>
  <si>
    <t>241 新北市三重區五華街71巷51號</t>
  </si>
  <si>
    <t>A131481143</t>
  </si>
  <si>
    <t>090/10/17</t>
  </si>
  <si>
    <t>0971602095</t>
  </si>
  <si>
    <t>ww28939608@gmail.com</t>
  </si>
  <si>
    <t>112 台北市北投區復興一路62巷3號3樓</t>
  </si>
  <si>
    <t>S224071670</t>
  </si>
  <si>
    <t>082/01/10</t>
  </si>
  <si>
    <t>0930615816</t>
  </si>
  <si>
    <t>changchiunghsin@gmail.com</t>
  </si>
  <si>
    <t>114 台北市內湖區金龍路222巷2號9樓之3</t>
  </si>
  <si>
    <t>F131106462</t>
  </si>
  <si>
    <t>090/03/27</t>
  </si>
  <si>
    <t>0911436826</t>
  </si>
  <si>
    <t>b101109035@tmu.edu.tw</t>
  </si>
  <si>
    <t>115/10/31</t>
  </si>
  <si>
    <t>247 新北市蘆洲區集賢路228-1號12樓</t>
  </si>
  <si>
    <t>A130665298</t>
  </si>
  <si>
    <t>089/04/18</t>
  </si>
  <si>
    <t>0958615819</t>
  </si>
  <si>
    <t>darrenn6030@gmail.com</t>
  </si>
  <si>
    <t>114/11/14</t>
  </si>
  <si>
    <t>105 台北市松山區民生東路五段36巷4弄1號4樓</t>
  </si>
  <si>
    <t>A127073419</t>
  </si>
  <si>
    <t>088/02/14</t>
  </si>
  <si>
    <t>0929120091</t>
  </si>
  <si>
    <t>yunsheng0214@gmail.com</t>
  </si>
  <si>
    <t>106 台北市大安區羅斯福路二段117巷6-6號</t>
  </si>
  <si>
    <t>A230102823</t>
  </si>
  <si>
    <t>陳玟卉</t>
  </si>
  <si>
    <t>090/03/20</t>
  </si>
  <si>
    <t>0919551485</t>
  </si>
  <si>
    <t>B0802009cgu@gmail.com</t>
  </si>
  <si>
    <t>108 台北市萬華區東園街126號2樓</t>
  </si>
  <si>
    <t>I100374179</t>
  </si>
  <si>
    <t>083/02/21</t>
  </si>
  <si>
    <t>0975701779</t>
  </si>
  <si>
    <t>b101109053@tmu.edu.tw</t>
  </si>
  <si>
    <t>411 臺中市太平區中山路一段215南巷11弄3號</t>
  </si>
  <si>
    <t>A130943608</t>
  </si>
  <si>
    <t>089/06/09</t>
  </si>
  <si>
    <t>0911098915</t>
  </si>
  <si>
    <t>chowardf1@gmail.com</t>
  </si>
  <si>
    <t>115 台北市文山區辛亥路四段77巷110號8樓</t>
  </si>
  <si>
    <t>P224331785</t>
  </si>
  <si>
    <t>088/06/29</t>
  </si>
  <si>
    <t>0908519120</t>
  </si>
  <si>
    <t>chengjingqi0629@gmail.com</t>
  </si>
  <si>
    <t>648 雲林縣西螺鎮安定里99之10號</t>
  </si>
  <si>
    <t>O100578418</t>
  </si>
  <si>
    <t>0968171995</t>
  </si>
  <si>
    <t>greatleotw@gmail.com</t>
  </si>
  <si>
    <t>302 新竹縣竹北市新生街82巷8號</t>
  </si>
  <si>
    <t>F130349356</t>
  </si>
  <si>
    <t>091/01/02</t>
  </si>
  <si>
    <t>0960171515</t>
  </si>
  <si>
    <t>kevin.houng0102@gmail.com</t>
  </si>
  <si>
    <t>407 臺中市西屯區市政路169號11樓之3</t>
  </si>
  <si>
    <t>F130883291</t>
  </si>
  <si>
    <t>090/09/14</t>
  </si>
  <si>
    <t>0965712201</t>
  </si>
  <si>
    <t>jinnin61946@gmail.com</t>
  </si>
  <si>
    <t>231 新北市新店區玫瑰路64巷1號1樓</t>
  </si>
  <si>
    <t>A227970559</t>
  </si>
  <si>
    <t>088/02/06</t>
  </si>
  <si>
    <t>0975226867</t>
  </si>
  <si>
    <t>b101109066@tmu.edu.tw</t>
  </si>
  <si>
    <t>112 台北市北投區石牌路二段315巷34弄1號12樓之一</t>
  </si>
  <si>
    <t>A128434747</t>
  </si>
  <si>
    <t>084/11/05</t>
  </si>
  <si>
    <t>0928468102</t>
  </si>
  <si>
    <t>jacky128434747@gmail.com</t>
  </si>
  <si>
    <t>108/12/12</t>
  </si>
  <si>
    <t>111059 台北市士林區前港街110巷6號3樓</t>
  </si>
  <si>
    <t>H125643205</t>
  </si>
  <si>
    <t>083/12/14</t>
  </si>
  <si>
    <t>0988277289</t>
  </si>
  <si>
    <t>achiever75362@gmail.com</t>
  </si>
  <si>
    <t>320011 桃園市中壢區內厝里19鄰大享街541號</t>
  </si>
  <si>
    <t>A131364281</t>
  </si>
  <si>
    <t>090/07/10</t>
  </si>
  <si>
    <t>0963606167</t>
  </si>
  <si>
    <t>ericyang654321@gmail.com</t>
  </si>
  <si>
    <t>115 台北市南港區中坡北路76巷2號3樓</t>
  </si>
  <si>
    <t>F130049575</t>
  </si>
  <si>
    <t>086/03/01</t>
  </si>
  <si>
    <t>國立中山大學醫學院學士後醫學系</t>
  </si>
  <si>
    <t>0905155197</t>
  </si>
  <si>
    <t>collin19859@gmail.com</t>
  </si>
  <si>
    <t>109/02/12</t>
  </si>
  <si>
    <t>242 新北市新莊區中平路198巷5號9樓</t>
  </si>
  <si>
    <t>H225616826</t>
  </si>
  <si>
    <t>091/01/20</t>
  </si>
  <si>
    <t>0905119361</t>
  </si>
  <si>
    <t>109311120@gms.tcu.edu.tw</t>
  </si>
  <si>
    <t>320049 桃園市中壢區明德里徐州街92號</t>
  </si>
  <si>
    <t>F130019997</t>
  </si>
  <si>
    <t>085/11/25</t>
  </si>
  <si>
    <t>0973251929</t>
  </si>
  <si>
    <t>jackie22603209@gmail.com</t>
  </si>
  <si>
    <t xml:space="preserve"> 新北市土城區學府路一段126巷52號7樓</t>
  </si>
  <si>
    <t>A130164072</t>
  </si>
  <si>
    <t>084/03/15</t>
  </si>
  <si>
    <t>0910261758</t>
  </si>
  <si>
    <t>willy77425@gmail.com</t>
  </si>
  <si>
    <t>104 台北市中山區松江路160巷15號4樓</t>
  </si>
  <si>
    <t>H125689916</t>
  </si>
  <si>
    <t>090/04/03</t>
  </si>
  <si>
    <t>0981673569</t>
  </si>
  <si>
    <t>yuchen010403@gmail.com</t>
  </si>
  <si>
    <t>330 桃園市桃園區國強十三街90號9樓</t>
  </si>
  <si>
    <t>F130518137</t>
  </si>
  <si>
    <t>087/03/03</t>
  </si>
  <si>
    <t>0928775705</t>
  </si>
  <si>
    <t>qwe210721@gmail.com</t>
  </si>
  <si>
    <t>238 新北市樹林區三福街56巷5之一號二樓</t>
  </si>
  <si>
    <t>O200614028</t>
  </si>
  <si>
    <t>091/08/02</t>
  </si>
  <si>
    <t>0903767976</t>
  </si>
  <si>
    <t>103579jessica@gmail.com</t>
  </si>
  <si>
    <t>300 新竹市東　區體育街28號9樓之二</t>
  </si>
  <si>
    <t>S224418413</t>
  </si>
  <si>
    <t>086/05/05</t>
  </si>
  <si>
    <t>0905711103</t>
  </si>
  <si>
    <t>l3845707823@gmail.com</t>
  </si>
  <si>
    <t>新光醫院</t>
  </si>
  <si>
    <t>104029 台北市中山區農安街33號7樓之1</t>
  </si>
  <si>
    <t>職級</t>
    <phoneticPr fontId="7" type="noConversion"/>
  </si>
  <si>
    <t>員工代號</t>
    <phoneticPr fontId="7" type="noConversion"/>
  </si>
  <si>
    <t>姓名</t>
    <phoneticPr fontId="7" type="noConversion"/>
  </si>
  <si>
    <t>簡碼</t>
    <phoneticPr fontId="7" type="noConversion"/>
  </si>
  <si>
    <t>手機</t>
    <phoneticPr fontId="7" type="noConversion"/>
  </si>
  <si>
    <t>E-MAIL</t>
    <phoneticPr fontId="7" type="noConversion"/>
  </si>
  <si>
    <t>二年期PGY2</t>
    <phoneticPr fontId="7" type="noConversion"/>
  </si>
  <si>
    <t>113學年度PGY學員聯絡資訊</t>
    <phoneticPr fontId="7" type="noConversion"/>
  </si>
  <si>
    <t>二年期PGY2</t>
  </si>
  <si>
    <t>M018066</t>
  </si>
  <si>
    <t>853362</t>
  </si>
  <si>
    <t>0937069768</t>
    <phoneticPr fontId="7" type="noConversion"/>
  </si>
  <si>
    <t>hochuan0000@gmail.com</t>
  </si>
  <si>
    <t>M018097</t>
  </si>
  <si>
    <t>吳佳凌</t>
    <phoneticPr fontId="7" type="noConversion"/>
  </si>
  <si>
    <t>0929300168</t>
    <phoneticPr fontId="7" type="noConversion"/>
  </si>
  <si>
    <t>chialing9007@gmail.com</t>
    <phoneticPr fontId="7" type="noConversion"/>
  </si>
  <si>
    <t>M018062</t>
  </si>
  <si>
    <t>呂宗倫</t>
    <phoneticPr fontId="7" type="noConversion"/>
  </si>
  <si>
    <t>0937608616</t>
    <phoneticPr fontId="7" type="noConversion"/>
  </si>
  <si>
    <t>tp963707@gmail.com</t>
    <phoneticPr fontId="7" type="noConversion"/>
  </si>
  <si>
    <t>M018070</t>
  </si>
  <si>
    <t>853521</t>
  </si>
  <si>
    <t>0919159792</t>
    <phoneticPr fontId="7" type="noConversion"/>
  </si>
  <si>
    <t>alicelee77tw@gmail.com</t>
    <phoneticPr fontId="7" type="noConversion"/>
  </si>
  <si>
    <t>M018067</t>
  </si>
  <si>
    <t>853375</t>
  </si>
  <si>
    <t>0975915008</t>
    <phoneticPr fontId="7" type="noConversion"/>
  </si>
  <si>
    <t>treasure90527@gmail.com</t>
    <phoneticPr fontId="7" type="noConversion"/>
  </si>
  <si>
    <t>M018082</t>
    <phoneticPr fontId="7" type="noConversion"/>
  </si>
  <si>
    <t>李宣諠</t>
    <phoneticPr fontId="7" type="noConversion"/>
  </si>
  <si>
    <t>853602</t>
  </si>
  <si>
    <t>0978393782</t>
    <phoneticPr fontId="7" type="noConversion"/>
  </si>
  <si>
    <t>sandy900118@gmail.com</t>
    <phoneticPr fontId="7" type="noConversion"/>
  </si>
  <si>
    <t>M018075</t>
  </si>
  <si>
    <t>853562</t>
  </si>
  <si>
    <t>0963528578</t>
    <phoneticPr fontId="7" type="noConversion"/>
  </si>
  <si>
    <t>ericshen900225@gmail.com</t>
    <phoneticPr fontId="7" type="noConversion"/>
  </si>
  <si>
    <t>M018598</t>
    <phoneticPr fontId="18" type="noConversion"/>
  </si>
  <si>
    <t>icy01172@gmail.com</t>
    <phoneticPr fontId="7" type="noConversion"/>
  </si>
  <si>
    <t>M018069</t>
  </si>
  <si>
    <t>沈韋齡</t>
    <phoneticPr fontId="7" type="noConversion"/>
  </si>
  <si>
    <t>853519</t>
  </si>
  <si>
    <t>0963517214</t>
    <phoneticPr fontId="7" type="noConversion"/>
  </si>
  <si>
    <t>kepig0909@gmail.com</t>
    <phoneticPr fontId="7" type="noConversion"/>
  </si>
  <si>
    <t>M018094</t>
  </si>
  <si>
    <t>852319</t>
  </si>
  <si>
    <t>0988927449</t>
    <phoneticPr fontId="7" type="noConversion"/>
  </si>
  <si>
    <t>linsiangchen@gmail.com</t>
    <phoneticPr fontId="7" type="noConversion"/>
  </si>
  <si>
    <t>M018084</t>
  </si>
  <si>
    <t>852103</t>
  </si>
  <si>
    <t>0983134236</t>
    <phoneticPr fontId="7" type="noConversion"/>
  </si>
  <si>
    <t>cherrylin2411@gmail.com</t>
    <phoneticPr fontId="7" type="noConversion"/>
  </si>
  <si>
    <t>M018098</t>
  </si>
  <si>
    <t>852336</t>
  </si>
  <si>
    <t>0988270165</t>
    <phoneticPr fontId="7" type="noConversion"/>
  </si>
  <si>
    <t>qaswe985405@gmail.com</t>
    <phoneticPr fontId="7" type="noConversion"/>
  </si>
  <si>
    <t>M018074</t>
  </si>
  <si>
    <t>林威宏</t>
    <phoneticPr fontId="7" type="noConversion"/>
  </si>
  <si>
    <t>853561</t>
  </si>
  <si>
    <t>0918992930</t>
    <phoneticPr fontId="7" type="noConversion"/>
  </si>
  <si>
    <t>lwhgilbertlin@gmail.com</t>
    <phoneticPr fontId="7" type="noConversion"/>
  </si>
  <si>
    <t>M018088</t>
  </si>
  <si>
    <t>林家助</t>
    <phoneticPr fontId="7" type="noConversion"/>
  </si>
  <si>
    <t>852137</t>
  </si>
  <si>
    <t>0988893329</t>
    <phoneticPr fontId="7" type="noConversion"/>
  </si>
  <si>
    <t>awdrgy741852@gmail.com</t>
    <phoneticPr fontId="7" type="noConversion"/>
  </si>
  <si>
    <t>M018093</t>
    <phoneticPr fontId="7" type="noConversion"/>
  </si>
  <si>
    <t>林紘睿</t>
    <phoneticPr fontId="7" type="noConversion"/>
  </si>
  <si>
    <t>852318</t>
  </si>
  <si>
    <t>0966563617</t>
    <phoneticPr fontId="7" type="noConversion"/>
  </si>
  <si>
    <t>b08401109@ntu.edu.tw</t>
    <phoneticPr fontId="7" type="noConversion"/>
  </si>
  <si>
    <t>M018064</t>
  </si>
  <si>
    <t>林培育</t>
    <phoneticPr fontId="7" type="noConversion"/>
  </si>
  <si>
    <t>853311</t>
  </si>
  <si>
    <t>0917636180</t>
    <phoneticPr fontId="7" type="noConversion"/>
  </si>
  <si>
    <t>perry69518@gmail.com</t>
    <phoneticPr fontId="7" type="noConversion"/>
  </si>
  <si>
    <t>M018086</t>
  </si>
  <si>
    <t>林靖瑄</t>
    <phoneticPr fontId="7" type="noConversion"/>
  </si>
  <si>
    <t>852113</t>
  </si>
  <si>
    <t>0965068813</t>
    <phoneticPr fontId="7" type="noConversion"/>
  </si>
  <si>
    <t>michellelin900328@gmail.com</t>
    <phoneticPr fontId="7" type="noConversion"/>
  </si>
  <si>
    <t>M018081</t>
  </si>
  <si>
    <t>林蓁芸</t>
    <phoneticPr fontId="7" type="noConversion"/>
  </si>
  <si>
    <t>853601</t>
  </si>
  <si>
    <t>0958916819</t>
    <phoneticPr fontId="7" type="noConversion"/>
  </si>
  <si>
    <t>differentbeat06@gmail.com</t>
    <phoneticPr fontId="7" type="noConversion"/>
  </si>
  <si>
    <t>M018091</t>
  </si>
  <si>
    <t>852301</t>
  </si>
  <si>
    <t>0966694159</t>
    <phoneticPr fontId="7" type="noConversion"/>
  </si>
  <si>
    <t>lennie1014@gmail.com</t>
    <phoneticPr fontId="7" type="noConversion"/>
  </si>
  <si>
    <t>M018083</t>
  </si>
  <si>
    <t>853603</t>
  </si>
  <si>
    <t>0921612618</t>
    <phoneticPr fontId="7" type="noConversion"/>
  </si>
  <si>
    <t>maniko0313@gmail.com</t>
    <phoneticPr fontId="7" type="noConversion"/>
  </si>
  <si>
    <t>M018063</t>
  </si>
  <si>
    <t>853282</t>
  </si>
  <si>
    <t>0965138853</t>
    <phoneticPr fontId="7" type="noConversion"/>
  </si>
  <si>
    <t>linsunshu@gmail.com</t>
    <phoneticPr fontId="7" type="noConversion"/>
  </si>
  <si>
    <t>M018077</t>
  </si>
  <si>
    <t>徐睿</t>
    <phoneticPr fontId="7" type="noConversion"/>
  </si>
  <si>
    <t>853590</t>
  </si>
  <si>
    <t>0975851696</t>
    <phoneticPr fontId="7" type="noConversion"/>
  </si>
  <si>
    <t>st9504277@gmail.com</t>
    <phoneticPr fontId="7" type="noConversion"/>
  </si>
  <si>
    <t>M018092</t>
  </si>
  <si>
    <t>高宜柔</t>
    <phoneticPr fontId="7" type="noConversion"/>
  </si>
  <si>
    <t>852307</t>
  </si>
  <si>
    <t>0937725163</t>
    <phoneticPr fontId="7" type="noConversion"/>
  </si>
  <si>
    <t>girl510461@gmail.com</t>
    <phoneticPr fontId="7" type="noConversion"/>
  </si>
  <si>
    <t>M018085</t>
  </si>
  <si>
    <t>張乃文</t>
    <phoneticPr fontId="7" type="noConversion"/>
  </si>
  <si>
    <t>852117</t>
  </si>
  <si>
    <t>0909396985</t>
    <phoneticPr fontId="7" type="noConversion"/>
  </si>
  <si>
    <t>nina61024@gmail.com</t>
    <phoneticPr fontId="7" type="noConversion"/>
  </si>
  <si>
    <t>M018071</t>
  </si>
  <si>
    <t>張汝禎</t>
    <phoneticPr fontId="7" type="noConversion"/>
  </si>
  <si>
    <t>853525</t>
  </si>
  <si>
    <t>0912392696</t>
    <phoneticPr fontId="7" type="noConversion"/>
  </si>
  <si>
    <t>jamie10939@gmail.com</t>
    <phoneticPr fontId="7" type="noConversion"/>
  </si>
  <si>
    <t>M018076</t>
  </si>
  <si>
    <t>張庭恩</t>
    <phoneticPr fontId="7" type="noConversion"/>
  </si>
  <si>
    <t>853587</t>
  </si>
  <si>
    <t>0920321051</t>
    <phoneticPr fontId="7" type="noConversion"/>
  </si>
  <si>
    <t>a06060337@gmail.com</t>
    <phoneticPr fontId="7" type="noConversion"/>
  </si>
  <si>
    <t>M018060</t>
  </si>
  <si>
    <t>張晏植</t>
    <phoneticPr fontId="7" type="noConversion"/>
  </si>
  <si>
    <t>853225</t>
  </si>
  <si>
    <t>0972363177</t>
    <phoneticPr fontId="7" type="noConversion"/>
  </si>
  <si>
    <t>v52044870208@gmail.com</t>
    <phoneticPr fontId="7" type="noConversion"/>
  </si>
  <si>
    <t>M018065</t>
  </si>
  <si>
    <t>853328</t>
  </si>
  <si>
    <t>0912106062</t>
    <phoneticPr fontId="7" type="noConversion"/>
  </si>
  <si>
    <t>tangz5497@gmail.com</t>
    <phoneticPr fontId="7" type="noConversion"/>
  </si>
  <si>
    <t>M018096</t>
  </si>
  <si>
    <t>郭王雨田</t>
    <phoneticPr fontId="7" type="noConversion"/>
  </si>
  <si>
    <t>852326</t>
  </si>
  <si>
    <t>0910353346</t>
    <phoneticPr fontId="7" type="noConversion"/>
  </si>
  <si>
    <t>kerry900520@gmail.com</t>
    <phoneticPr fontId="7" type="noConversion"/>
  </si>
  <si>
    <t>M018095</t>
  </si>
  <si>
    <t>852321</t>
  </si>
  <si>
    <t>0909088328</t>
    <phoneticPr fontId="7" type="noConversion"/>
  </si>
  <si>
    <t>frankdtss0323@gmail.com</t>
    <phoneticPr fontId="7" type="noConversion"/>
  </si>
  <si>
    <t>M018099</t>
  </si>
  <si>
    <t>852351</t>
  </si>
  <si>
    <t>0923583166</t>
    <phoneticPr fontId="7" type="noConversion"/>
  </si>
  <si>
    <t>yorick861014@gmail.com</t>
    <phoneticPr fontId="7" type="noConversion"/>
  </si>
  <si>
    <t>M018061</t>
  </si>
  <si>
    <t>陳富宏</t>
    <phoneticPr fontId="7" type="noConversion"/>
  </si>
  <si>
    <t>853228</t>
  </si>
  <si>
    <t>0960351213</t>
    <phoneticPr fontId="7" type="noConversion"/>
  </si>
  <si>
    <t>fuhongc989@gmail.com</t>
    <phoneticPr fontId="7" type="noConversion"/>
  </si>
  <si>
    <t>M018080</t>
  </si>
  <si>
    <t>853593</t>
  </si>
  <si>
    <t>0987565267</t>
    <phoneticPr fontId="7" type="noConversion"/>
  </si>
  <si>
    <t>109311130@gms.tcu.edu.tw</t>
    <phoneticPr fontId="7" type="noConversion"/>
  </si>
  <si>
    <t>M018078</t>
  </si>
  <si>
    <t>黃孟捷</t>
    <phoneticPr fontId="7" type="noConversion"/>
  </si>
  <si>
    <t>853591</t>
  </si>
  <si>
    <t>0909914321</t>
    <phoneticPr fontId="7" type="noConversion"/>
  </si>
  <si>
    <t>smallsoo0321@gmail.com</t>
    <phoneticPr fontId="7" type="noConversion"/>
  </si>
  <si>
    <t>M018068</t>
  </si>
  <si>
    <t>黃美璇</t>
    <phoneticPr fontId="7" type="noConversion"/>
  </si>
  <si>
    <t>853390</t>
  </si>
  <si>
    <t>0983589335</t>
    <phoneticPr fontId="7" type="noConversion"/>
  </si>
  <si>
    <t>ivy6034@gmail.com</t>
    <phoneticPr fontId="7" type="noConversion"/>
  </si>
  <si>
    <t>M018089</t>
  </si>
  <si>
    <t>楊祚昇</t>
    <phoneticPr fontId="7" type="noConversion"/>
  </si>
  <si>
    <t>852176</t>
  </si>
  <si>
    <t>0984344705</t>
    <phoneticPr fontId="7" type="noConversion"/>
  </si>
  <si>
    <t>david40201@gmail.com</t>
    <phoneticPr fontId="7" type="noConversion"/>
  </si>
  <si>
    <t>M018087</t>
  </si>
  <si>
    <t>楊萬暄</t>
    <phoneticPr fontId="7" type="noConversion"/>
  </si>
  <si>
    <t>852127</t>
  </si>
  <si>
    <t>0979017375</t>
    <phoneticPr fontId="7" type="noConversion"/>
  </si>
  <si>
    <t>sean8811760@gmail.com</t>
    <phoneticPr fontId="7" type="noConversion"/>
  </si>
  <si>
    <t>M018073</t>
  </si>
  <si>
    <t>853560</t>
  </si>
  <si>
    <t>0979125615</t>
    <phoneticPr fontId="7" type="noConversion"/>
  </si>
  <si>
    <t>hubertchau@icloud.com</t>
    <phoneticPr fontId="7" type="noConversion"/>
  </si>
  <si>
    <t>M018090</t>
  </si>
  <si>
    <t>戴翊如</t>
    <phoneticPr fontId="7" type="noConversion"/>
  </si>
  <si>
    <t>852183</t>
  </si>
  <si>
    <t>0909358869</t>
    <phoneticPr fontId="7" type="noConversion"/>
  </si>
  <si>
    <t>a0909358869@gmail.com</t>
    <phoneticPr fontId="7" type="noConversion"/>
  </si>
  <si>
    <t>M018079</t>
  </si>
  <si>
    <t>謝昇峰</t>
    <phoneticPr fontId="7" type="noConversion"/>
  </si>
  <si>
    <t>853592</t>
  </si>
  <si>
    <t>0918320561</t>
    <phoneticPr fontId="7" type="noConversion"/>
  </si>
  <si>
    <t>a0918320561@gmail.com</t>
    <phoneticPr fontId="7" type="noConversion"/>
  </si>
  <si>
    <t>M018072</t>
  </si>
  <si>
    <t>謝皓穎</t>
    <phoneticPr fontId="7" type="noConversion"/>
  </si>
  <si>
    <t>853553</t>
  </si>
  <si>
    <t>0918389630</t>
    <phoneticPr fontId="7" type="noConversion"/>
  </si>
  <si>
    <t>irishorace1101@gmail.com</t>
    <phoneticPr fontId="7" type="noConversion"/>
  </si>
  <si>
    <t>114學年度PGY學員聯絡資訊</t>
    <phoneticPr fontId="7" type="noConversion"/>
  </si>
  <si>
    <t>簡碼</t>
  </si>
  <si>
    <t>二年期PGY1</t>
    <phoneticPr fontId="7" type="noConversion"/>
  </si>
  <si>
    <t>M018622</t>
    <phoneticPr fontId="7" type="noConversion"/>
  </si>
  <si>
    <t>0963525050</t>
    <phoneticPr fontId="7" type="noConversion"/>
  </si>
  <si>
    <t>WangSelina71731@gmail.com</t>
    <phoneticPr fontId="7" type="noConversion"/>
  </si>
  <si>
    <t>M018629</t>
    <phoneticPr fontId="7" type="noConversion"/>
  </si>
  <si>
    <t>0981930122</t>
    <phoneticPr fontId="7" type="noConversion"/>
  </si>
  <si>
    <t>s0956310122@gmail.com</t>
    <phoneticPr fontId="7" type="noConversion"/>
  </si>
  <si>
    <t>M018607</t>
    <phoneticPr fontId="7" type="noConversion"/>
  </si>
  <si>
    <t>0989967297</t>
    <phoneticPr fontId="7" type="noConversion"/>
  </si>
  <si>
    <t>legendary60711@gmail.com</t>
    <phoneticPr fontId="7" type="noConversion"/>
  </si>
  <si>
    <t>M018624</t>
    <phoneticPr fontId="7" type="noConversion"/>
  </si>
  <si>
    <t>0900763654</t>
    <phoneticPr fontId="7" type="noConversion"/>
  </si>
  <si>
    <t>stone31002@gmail.com</t>
    <phoneticPr fontId="7" type="noConversion"/>
  </si>
  <si>
    <t>M018610</t>
    <phoneticPr fontId="7" type="noConversion"/>
  </si>
  <si>
    <t>0965519565</t>
    <phoneticPr fontId="7" type="noConversion"/>
  </si>
  <si>
    <t>109311115@gms.tcu.edu.tw</t>
    <phoneticPr fontId="7" type="noConversion"/>
  </si>
  <si>
    <t>M018602</t>
    <phoneticPr fontId="7" type="noConversion"/>
  </si>
  <si>
    <t>0928517366</t>
    <phoneticPr fontId="7" type="noConversion"/>
  </si>
  <si>
    <t>happyruby333@gmail.com</t>
    <phoneticPr fontId="7" type="noConversion"/>
  </si>
  <si>
    <t>M018632</t>
    <phoneticPr fontId="7" type="noConversion"/>
  </si>
  <si>
    <t>0983020913</t>
    <phoneticPr fontId="7" type="noConversion"/>
  </si>
  <si>
    <t>b101109062@tmu.edu.tw</t>
    <phoneticPr fontId="7" type="noConversion"/>
  </si>
  <si>
    <t>M018618</t>
    <phoneticPr fontId="7" type="noConversion"/>
  </si>
  <si>
    <t>0905925336</t>
    <phoneticPr fontId="7" type="noConversion"/>
  </si>
  <si>
    <t>norman.wu9604@gmail.com</t>
    <phoneticPr fontId="7" type="noConversion"/>
  </si>
  <si>
    <t>M018623</t>
    <phoneticPr fontId="7" type="noConversion"/>
  </si>
  <si>
    <t>0918352122</t>
    <phoneticPr fontId="7" type="noConversion"/>
  </si>
  <si>
    <t>feather0805030@gmail.com</t>
    <phoneticPr fontId="7" type="noConversion"/>
  </si>
  <si>
    <t>M018625</t>
    <phoneticPr fontId="7" type="noConversion"/>
  </si>
  <si>
    <t>0902290665</t>
    <phoneticPr fontId="7" type="noConversion"/>
  </si>
  <si>
    <t>jackissnowman@gmail.com</t>
    <phoneticPr fontId="7" type="noConversion"/>
  </si>
  <si>
    <t>M018611</t>
    <phoneticPr fontId="7" type="noConversion"/>
  </si>
  <si>
    <t>0936925168</t>
    <phoneticPr fontId="7" type="noConversion"/>
  </si>
  <si>
    <t>isabel0516777@gmail.com</t>
    <phoneticPr fontId="7" type="noConversion"/>
  </si>
  <si>
    <t>M018606</t>
    <phoneticPr fontId="7" type="noConversion"/>
  </si>
  <si>
    <t>0988819816</t>
    <phoneticPr fontId="7" type="noConversion"/>
  </si>
  <si>
    <t>chani901016@gmail.com</t>
    <phoneticPr fontId="7" type="noConversion"/>
  </si>
  <si>
    <t>M018604</t>
    <phoneticPr fontId="7" type="noConversion"/>
  </si>
  <si>
    <t>0909356716</t>
    <phoneticPr fontId="7" type="noConversion"/>
  </si>
  <si>
    <t>rayray60512@gmail.com</t>
    <phoneticPr fontId="7" type="noConversion"/>
  </si>
  <si>
    <t>M018634</t>
    <phoneticPr fontId="7" type="noConversion"/>
  </si>
  <si>
    <t>0968726737</t>
    <phoneticPr fontId="7" type="noConversion"/>
  </si>
  <si>
    <t>0630paul@gmail.com</t>
    <phoneticPr fontId="7" type="noConversion"/>
  </si>
  <si>
    <t>M018636</t>
    <phoneticPr fontId="7" type="noConversion"/>
  </si>
  <si>
    <t>0971602095</t>
    <phoneticPr fontId="7" type="noConversion"/>
  </si>
  <si>
    <t>ww28939608@gmail.com</t>
    <phoneticPr fontId="7" type="noConversion"/>
  </si>
  <si>
    <t>M018635</t>
    <phoneticPr fontId="7" type="noConversion"/>
  </si>
  <si>
    <t>0930615816</t>
    <phoneticPr fontId="7" type="noConversion"/>
  </si>
  <si>
    <t>changchiunghsin@gmail.com</t>
    <phoneticPr fontId="7" type="noConversion"/>
  </si>
  <si>
    <t>M018630</t>
    <phoneticPr fontId="7" type="noConversion"/>
  </si>
  <si>
    <t>0911436826</t>
    <phoneticPr fontId="7" type="noConversion"/>
  </si>
  <si>
    <t>b101109035@tmu.edu.tw</t>
    <phoneticPr fontId="7" type="noConversion"/>
  </si>
  <si>
    <t>M018626</t>
    <phoneticPr fontId="7" type="noConversion"/>
  </si>
  <si>
    <t>0958615819</t>
    <phoneticPr fontId="7" type="noConversion"/>
  </si>
  <si>
    <t>darrenn6030@gmail.com</t>
    <phoneticPr fontId="7" type="noConversion"/>
  </si>
  <si>
    <t>M018616</t>
    <phoneticPr fontId="7" type="noConversion"/>
  </si>
  <si>
    <t>0929120091</t>
    <phoneticPr fontId="7" type="noConversion"/>
  </si>
  <si>
    <t>yunsheng0214@gmail.com</t>
    <phoneticPr fontId="7" type="noConversion"/>
  </si>
  <si>
    <t>M018621</t>
    <phoneticPr fontId="7" type="noConversion"/>
  </si>
  <si>
    <t>0919551485</t>
    <phoneticPr fontId="7" type="noConversion"/>
  </si>
  <si>
    <t>B0802009cgu@gmail.com</t>
    <phoneticPr fontId="7" type="noConversion"/>
  </si>
  <si>
    <t>M018605</t>
    <phoneticPr fontId="7" type="noConversion"/>
  </si>
  <si>
    <t>0975701779</t>
    <phoneticPr fontId="7" type="noConversion"/>
  </si>
  <si>
    <t>b101109053@tmu.edu.tw</t>
    <phoneticPr fontId="7" type="noConversion"/>
  </si>
  <si>
    <t>M018620</t>
    <phoneticPr fontId="7" type="noConversion"/>
  </si>
  <si>
    <t>0911098915</t>
    <phoneticPr fontId="7" type="noConversion"/>
  </si>
  <si>
    <t>chowardf1@gmail.com</t>
    <phoneticPr fontId="7" type="noConversion"/>
  </si>
  <si>
    <t>M018612</t>
    <phoneticPr fontId="7" type="noConversion"/>
  </si>
  <si>
    <t>0908519120</t>
    <phoneticPr fontId="7" type="noConversion"/>
  </si>
  <si>
    <t>chengjingqi0629@gmail.com</t>
    <phoneticPr fontId="7" type="noConversion"/>
  </si>
  <si>
    <t>M018633</t>
    <phoneticPr fontId="7" type="noConversion"/>
  </si>
  <si>
    <t>0968171995</t>
    <phoneticPr fontId="7" type="noConversion"/>
  </si>
  <si>
    <t>greatleotw@gmail.com</t>
    <phoneticPr fontId="7" type="noConversion"/>
  </si>
  <si>
    <t>M018601</t>
    <phoneticPr fontId="7" type="noConversion"/>
  </si>
  <si>
    <t>0960171515</t>
    <phoneticPr fontId="7" type="noConversion"/>
  </si>
  <si>
    <t>kevin.houng0102@gmail.com</t>
    <phoneticPr fontId="7" type="noConversion"/>
  </si>
  <si>
    <t>M018627</t>
    <phoneticPr fontId="7" type="noConversion"/>
  </si>
  <si>
    <t>0965712201</t>
    <phoneticPr fontId="7" type="noConversion"/>
  </si>
  <si>
    <t>jinnin61946@gmail.com</t>
    <phoneticPr fontId="7" type="noConversion"/>
  </si>
  <si>
    <t>M018617</t>
    <phoneticPr fontId="7" type="noConversion"/>
  </si>
  <si>
    <t>0975226867</t>
    <phoneticPr fontId="7" type="noConversion"/>
  </si>
  <si>
    <t>b101109066@tmu.edu.tw</t>
    <phoneticPr fontId="7" type="noConversion"/>
  </si>
  <si>
    <t>M018599</t>
    <phoneticPr fontId="7" type="noConversion"/>
  </si>
  <si>
    <t>0928468102</t>
    <phoneticPr fontId="7" type="noConversion"/>
  </si>
  <si>
    <t>jacky128434747@gmail.com</t>
    <phoneticPr fontId="7" type="noConversion"/>
  </si>
  <si>
    <t>M018613</t>
    <phoneticPr fontId="7" type="noConversion"/>
  </si>
  <si>
    <t>0988277289</t>
    <phoneticPr fontId="7" type="noConversion"/>
  </si>
  <si>
    <t>achiever75362@gmail.com</t>
    <phoneticPr fontId="7" type="noConversion"/>
  </si>
  <si>
    <t>M018603</t>
    <phoneticPr fontId="7" type="noConversion"/>
  </si>
  <si>
    <t>0963606167</t>
    <phoneticPr fontId="7" type="noConversion"/>
  </si>
  <si>
    <t>ericyang654321@gmail.com</t>
    <phoneticPr fontId="7" type="noConversion"/>
  </si>
  <si>
    <t>M018608</t>
    <phoneticPr fontId="7" type="noConversion"/>
  </si>
  <si>
    <t>0905155197</t>
    <phoneticPr fontId="7" type="noConversion"/>
  </si>
  <si>
    <t>collin19859@gmail.com</t>
    <phoneticPr fontId="7" type="noConversion"/>
  </si>
  <si>
    <t>M018619</t>
    <phoneticPr fontId="7" type="noConversion"/>
  </si>
  <si>
    <t>0905119361</t>
    <phoneticPr fontId="7" type="noConversion"/>
  </si>
  <si>
    <t>109311120@gms.tcu.edu.tw</t>
    <phoneticPr fontId="7" type="noConversion"/>
  </si>
  <si>
    <t>M018614</t>
    <phoneticPr fontId="7" type="noConversion"/>
  </si>
  <si>
    <t>0973251929</t>
    <phoneticPr fontId="7" type="noConversion"/>
  </si>
  <si>
    <t>jackie22603209@gmail.com</t>
    <phoneticPr fontId="7" type="noConversion"/>
  </si>
  <si>
    <t>M018600</t>
    <phoneticPr fontId="7" type="noConversion"/>
  </si>
  <si>
    <t>0910261758</t>
    <phoneticPr fontId="7" type="noConversion"/>
  </si>
  <si>
    <t>willy77425@gmail.com</t>
    <phoneticPr fontId="7" type="noConversion"/>
  </si>
  <si>
    <t>M018609</t>
    <phoneticPr fontId="7" type="noConversion"/>
  </si>
  <si>
    <t>0981673569</t>
    <phoneticPr fontId="7" type="noConversion"/>
  </si>
  <si>
    <t>yuchen010403@gmail.com</t>
    <phoneticPr fontId="7" type="noConversion"/>
  </si>
  <si>
    <t>M018615</t>
    <phoneticPr fontId="7" type="noConversion"/>
  </si>
  <si>
    <t>0928775705</t>
    <phoneticPr fontId="7" type="noConversion"/>
  </si>
  <si>
    <t>qwe210721@gmail.com</t>
    <phoneticPr fontId="7" type="noConversion"/>
  </si>
  <si>
    <t>M018631</t>
    <phoneticPr fontId="7" type="noConversion"/>
  </si>
  <si>
    <t>0903767976</t>
    <phoneticPr fontId="7" type="noConversion"/>
  </si>
  <si>
    <t>103579jessica@gmail.com</t>
    <phoneticPr fontId="7" type="noConversion"/>
  </si>
  <si>
    <t>M018628</t>
    <phoneticPr fontId="7" type="noConversion"/>
  </si>
  <si>
    <t>0905711103</t>
    <phoneticPr fontId="7" type="noConversion"/>
  </si>
  <si>
    <t>l3845707823@gmail.com</t>
    <phoneticPr fontId="7" type="noConversion"/>
  </si>
  <si>
    <t>和信代訓PGY學員聯絡資訊</t>
    <phoneticPr fontId="7" type="noConversion"/>
  </si>
  <si>
    <t>和信-Y018297</t>
    <phoneticPr fontId="7" type="noConversion"/>
  </si>
  <si>
    <t>王亭絜</t>
    <phoneticPr fontId="7" type="noConversion"/>
  </si>
  <si>
    <t xml:space="preserve">0975965590 </t>
    <phoneticPr fontId="20" type="noConversion"/>
  </si>
  <si>
    <t>tjwang@kfsyscc.org</t>
    <phoneticPr fontId="7" type="noConversion"/>
  </si>
  <si>
    <t>和信-Y018344</t>
    <phoneticPr fontId="7" type="noConversion"/>
  </si>
  <si>
    <t>王子維</t>
    <phoneticPr fontId="7" type="noConversion"/>
  </si>
  <si>
    <t>0919212614</t>
    <phoneticPr fontId="20" type="noConversion"/>
  </si>
  <si>
    <t>wwwang@kfsyscc.org</t>
    <phoneticPr fontId="7" type="noConversion"/>
  </si>
  <si>
    <t>和信-Y018408</t>
    <phoneticPr fontId="7" type="noConversion"/>
  </si>
  <si>
    <t>陳信凱</t>
    <phoneticPr fontId="7" type="noConversion"/>
  </si>
  <si>
    <t>0963656373</t>
    <phoneticPr fontId="20" type="noConversion"/>
  </si>
  <si>
    <t>kennychen@kfsyscc.org</t>
    <phoneticPr fontId="7" type="noConversion"/>
  </si>
  <si>
    <t>115學年度PGY學員聯絡資訊</t>
    <phoneticPr fontId="7" type="noConversion"/>
  </si>
  <si>
    <t>M017031</t>
    <phoneticPr fontId="7" type="noConversion"/>
  </si>
  <si>
    <t>陳玉霖</t>
    <phoneticPr fontId="7" type="noConversion"/>
  </si>
  <si>
    <t>856117</t>
    <phoneticPr fontId="20" type="noConversion"/>
  </si>
  <si>
    <t>0979438039</t>
  </si>
  <si>
    <t>spidergary40603@gmail.com</t>
  </si>
  <si>
    <t>M017583</t>
    <phoneticPr fontId="7" type="noConversion"/>
  </si>
  <si>
    <t>M017590</t>
    <phoneticPr fontId="7" type="noConversion"/>
  </si>
  <si>
    <t>0965250739</t>
    <phoneticPr fontId="20" type="noConversion"/>
  </si>
  <si>
    <t>M017565</t>
    <phoneticPr fontId="7" type="noConversion"/>
  </si>
  <si>
    <t>毛振傑</t>
    <phoneticPr fontId="7" type="noConversion"/>
  </si>
  <si>
    <t>850976</t>
    <phoneticPr fontId="20" type="noConversion"/>
  </si>
  <si>
    <t>M017593</t>
    <phoneticPr fontId="7" type="noConversion"/>
  </si>
  <si>
    <t>古子明</t>
    <phoneticPr fontId="7" type="noConversion"/>
  </si>
  <si>
    <t>851635</t>
    <phoneticPr fontId="20" type="noConversion"/>
  </si>
  <si>
    <t>M017584</t>
    <phoneticPr fontId="7" type="noConversion"/>
  </si>
  <si>
    <t>吳家德</t>
    <phoneticPr fontId="7" type="noConversion"/>
  </si>
  <si>
    <t>850136</t>
    <phoneticPr fontId="20" type="noConversion"/>
  </si>
  <si>
    <t>李沛東</t>
    <phoneticPr fontId="7" type="noConversion"/>
  </si>
  <si>
    <t>857725</t>
    <phoneticPr fontId="20" type="noConversion"/>
  </si>
  <si>
    <t>孫印亭</t>
    <phoneticPr fontId="7" type="noConversion"/>
  </si>
  <si>
    <t>857590</t>
    <phoneticPr fontId="20" type="noConversion"/>
  </si>
  <si>
    <t>M017553</t>
    <phoneticPr fontId="7" type="noConversion"/>
  </si>
  <si>
    <t>張大中</t>
    <phoneticPr fontId="7" type="noConversion"/>
  </si>
  <si>
    <t>850332</t>
    <phoneticPr fontId="20" type="noConversion"/>
  </si>
  <si>
    <t>M017562</t>
    <phoneticPr fontId="7" type="noConversion"/>
  </si>
  <si>
    <t>郭彥希</t>
    <phoneticPr fontId="7" type="noConversion"/>
  </si>
  <si>
    <t>850857</t>
    <phoneticPr fontId="20" type="noConversion"/>
  </si>
  <si>
    <t>M017582</t>
    <phoneticPr fontId="7" type="noConversion"/>
  </si>
  <si>
    <t>楊承晧</t>
    <phoneticPr fontId="7" type="noConversion"/>
  </si>
  <si>
    <t>856336</t>
    <phoneticPr fontId="20" type="noConversion"/>
  </si>
  <si>
    <t>M017561</t>
    <phoneticPr fontId="7" type="noConversion"/>
  </si>
  <si>
    <t>蔡侑辰</t>
    <phoneticPr fontId="7" type="noConversion"/>
  </si>
  <si>
    <t>850815</t>
    <phoneticPr fontId="20" type="noConversion"/>
  </si>
  <si>
    <t>M017551</t>
    <phoneticPr fontId="7" type="noConversion"/>
  </si>
  <si>
    <t>羅義為</t>
    <phoneticPr fontId="7" type="noConversion"/>
  </si>
  <si>
    <t>850187</t>
    <phoneticPr fontId="20" type="noConversion"/>
  </si>
  <si>
    <t>M017579</t>
    <phoneticPr fontId="7" type="noConversion"/>
  </si>
  <si>
    <t>陳柏睿</t>
    <phoneticPr fontId="7" type="noConversion"/>
  </si>
  <si>
    <t>0989794162</t>
    <phoneticPr fontId="7" type="noConversion"/>
  </si>
  <si>
    <t>受訓月份</t>
    <phoneticPr fontId="15" type="noConversion"/>
  </si>
  <si>
    <t>訓練機構</t>
    <phoneticPr fontId="15" type="noConversion"/>
  </si>
  <si>
    <t>外科</t>
    <phoneticPr fontId="15" type="noConversion"/>
  </si>
  <si>
    <t>新光醫院</t>
    <phoneticPr fontId="15" type="noConversion"/>
  </si>
  <si>
    <t>PGY</t>
    <phoneticPr fontId="7" type="noConversion"/>
  </si>
  <si>
    <t>外科
選修</t>
    <phoneticPr fontId="13" type="noConversion"/>
  </si>
  <si>
    <t>總計</t>
    <phoneticPr fontId="7" type="noConversion"/>
  </si>
  <si>
    <t>內科</t>
    <phoneticPr fontId="15" type="noConversion"/>
  </si>
  <si>
    <t>內科
選修</t>
    <phoneticPr fontId="13" type="noConversion"/>
  </si>
  <si>
    <t>兒科</t>
    <phoneticPr fontId="15" type="noConversion"/>
  </si>
  <si>
    <t>兒科
選修</t>
    <phoneticPr fontId="13" type="noConversion"/>
  </si>
  <si>
    <t xml:space="preserve">急診醫學 </t>
    <phoneticPr fontId="15" type="noConversion"/>
  </si>
  <si>
    <t>婦產科</t>
    <phoneticPr fontId="15" type="noConversion"/>
  </si>
  <si>
    <t>老年醫學</t>
    <phoneticPr fontId="7" type="noConversion"/>
  </si>
  <si>
    <t>新光醫院</t>
    <phoneticPr fontId="7" type="noConversion"/>
  </si>
  <si>
    <t>PGY2</t>
    <phoneticPr fontId="7" type="noConversion"/>
  </si>
  <si>
    <t>其他科
選修</t>
    <phoneticPr fontId="15" type="noConversion"/>
  </si>
  <si>
    <t>社區醫學</t>
    <phoneticPr fontId="15" type="noConversion"/>
  </si>
  <si>
    <t>PGY1</t>
    <phoneticPr fontId="7" type="noConversion"/>
  </si>
  <si>
    <t>關渡</t>
  </si>
  <si>
    <t>永耕</t>
  </si>
  <si>
    <t>陽明</t>
  </si>
  <si>
    <t>中興</t>
  </si>
  <si>
    <t>臺安</t>
  </si>
  <si>
    <t>新北</t>
  </si>
  <si>
    <t>台東馬偕</t>
  </si>
  <si>
    <t>社區內科</t>
    <phoneticPr fontId="7" type="noConversion"/>
  </si>
  <si>
    <t>台安</t>
    <phoneticPr fontId="7" type="noConversion"/>
  </si>
  <si>
    <t>社區外科</t>
    <phoneticPr fontId="7" type="noConversion"/>
  </si>
  <si>
    <t>永和耕莘</t>
    <phoneticPr fontId="7" type="noConversion"/>
  </si>
  <si>
    <t>社區婦產科</t>
    <phoneticPr fontId="7" type="noConversion"/>
  </si>
  <si>
    <t>社區兒科</t>
    <phoneticPr fontId="7" type="noConversion"/>
  </si>
  <si>
    <t>合計人數</t>
    <phoneticPr fontId="7" type="noConversion"/>
  </si>
  <si>
    <t>臨床教師</t>
    <phoneticPr fontId="15" type="noConversion"/>
  </si>
  <si>
    <t>林鎮均</t>
    <phoneticPr fontId="7" type="noConversion"/>
  </si>
  <si>
    <t>葉育雯</t>
    <phoneticPr fontId="7" type="noConversion"/>
  </si>
  <si>
    <t>鄭景元</t>
    <phoneticPr fontId="7" type="noConversion"/>
  </si>
  <si>
    <t>黃建賢</t>
    <phoneticPr fontId="7" type="noConversion"/>
  </si>
  <si>
    <t>陳威宇</t>
    <phoneticPr fontId="7" type="noConversion"/>
  </si>
  <si>
    <t>游介宇</t>
    <phoneticPr fontId="7" type="noConversion"/>
  </si>
  <si>
    <t>林瑛珠</t>
    <phoneticPr fontId="7" type="noConversion"/>
  </si>
  <si>
    <t>年</t>
    <phoneticPr fontId="15" type="noConversion"/>
  </si>
  <si>
    <t>月</t>
    <phoneticPr fontId="15" type="noConversion"/>
  </si>
  <si>
    <t>Team1</t>
    <phoneticPr fontId="15" type="noConversion"/>
  </si>
  <si>
    <t>Team2</t>
    <phoneticPr fontId="15" type="noConversion"/>
  </si>
  <si>
    <t>Team3</t>
    <phoneticPr fontId="15" type="noConversion"/>
  </si>
  <si>
    <t>Team4</t>
  </si>
  <si>
    <t>心臟內科</t>
    <phoneticPr fontId="15" type="noConversion"/>
  </si>
  <si>
    <t>A</t>
    <phoneticPr fontId="7" type="noConversion"/>
  </si>
  <si>
    <t>B</t>
    <phoneticPr fontId="7" type="noConversion"/>
  </si>
  <si>
    <t>C</t>
    <phoneticPr fontId="7" type="noConversion"/>
  </si>
  <si>
    <t>胸腔內科</t>
    <phoneticPr fontId="15" type="noConversion"/>
  </si>
  <si>
    <t>腎臟科</t>
    <phoneticPr fontId="15" type="noConversion"/>
  </si>
  <si>
    <t>感染科</t>
    <phoneticPr fontId="15" type="noConversion"/>
  </si>
  <si>
    <t>臨床教師</t>
    <phoneticPr fontId="7" type="noConversion"/>
  </si>
  <si>
    <t>科別</t>
    <phoneticPr fontId="15" type="noConversion"/>
  </si>
  <si>
    <t>胃腸肝膽科</t>
    <phoneticPr fontId="15" type="noConversion"/>
  </si>
  <si>
    <t>蔡明憲</t>
    <phoneticPr fontId="7" type="noConversion"/>
  </si>
  <si>
    <t>年/月</t>
  </si>
  <si>
    <t>林士森</t>
    <phoneticPr fontId="7" type="noConversion"/>
  </si>
  <si>
    <t>莊正彥</t>
    <phoneticPr fontId="7" type="noConversion"/>
  </si>
  <si>
    <t>方躍霖</t>
    <phoneticPr fontId="7" type="noConversion"/>
  </si>
  <si>
    <t>王凱緯</t>
    <phoneticPr fontId="7" type="noConversion"/>
  </si>
  <si>
    <t>鄭益和</t>
    <phoneticPr fontId="7" type="noConversion"/>
  </si>
  <si>
    <t>容菁霞</t>
    <phoneticPr fontId="7" type="noConversion"/>
  </si>
  <si>
    <t>張繼仁</t>
    <phoneticPr fontId="7" type="noConversion"/>
  </si>
  <si>
    <t>何肇晏</t>
    <phoneticPr fontId="7" type="noConversion"/>
  </si>
  <si>
    <t>蔡明成</t>
    <phoneticPr fontId="7" type="noConversion"/>
  </si>
  <si>
    <t>蔡明達</t>
    <phoneticPr fontId="7" type="noConversion"/>
  </si>
  <si>
    <t>陳慶霖</t>
    <phoneticPr fontId="7" type="noConversion"/>
  </si>
  <si>
    <t>林志達</t>
    <phoneticPr fontId="7" type="noConversion"/>
  </si>
  <si>
    <t>一般外科</t>
    <phoneticPr fontId="15" type="noConversion"/>
  </si>
  <si>
    <t>泌尿科</t>
    <phoneticPr fontId="15" type="noConversion"/>
  </si>
  <si>
    <t>神經外科</t>
    <phoneticPr fontId="15" type="noConversion"/>
  </si>
  <si>
    <t>林佳勳</t>
    <phoneticPr fontId="7" type="noConversion"/>
  </si>
  <si>
    <t>陳彥仰</t>
    <phoneticPr fontId="7" type="noConversion"/>
  </si>
  <si>
    <t>顏羽彤</t>
    <phoneticPr fontId="7" type="noConversion"/>
  </si>
  <si>
    <t>高弘儒</t>
    <phoneticPr fontId="7" type="noConversion"/>
  </si>
  <si>
    <t>林上熙</t>
    <phoneticPr fontId="7" type="noConversion"/>
  </si>
  <si>
    <t>林育賢</t>
    <phoneticPr fontId="7" type="noConversion"/>
  </si>
  <si>
    <t>林培新</t>
    <phoneticPr fontId="7" type="noConversion"/>
  </si>
  <si>
    <t>陳柵君</t>
    <phoneticPr fontId="7" type="noConversion"/>
  </si>
  <si>
    <t>鄭舉緒</t>
    <phoneticPr fontId="7" type="noConversion"/>
  </si>
  <si>
    <t>謝陳平</t>
    <phoneticPr fontId="7" type="noConversion"/>
  </si>
  <si>
    <t>洪立維</t>
    <phoneticPr fontId="7" type="noConversion"/>
  </si>
  <si>
    <t>心臟外科</t>
    <phoneticPr fontId="20" type="noConversion"/>
  </si>
  <si>
    <t>整形外科</t>
    <phoneticPr fontId="15" type="noConversion"/>
  </si>
  <si>
    <t>胸腔外科</t>
    <phoneticPr fontId="15" type="noConversion"/>
  </si>
  <si>
    <t>骨科</t>
    <phoneticPr fontId="15" type="noConversion"/>
  </si>
  <si>
    <t>年</t>
    <phoneticPr fontId="7" type="noConversion"/>
  </si>
  <si>
    <t>吳慈恩</t>
    <phoneticPr fontId="20" type="noConversion"/>
  </si>
  <si>
    <t>林惠真</t>
    <phoneticPr fontId="20" type="noConversion"/>
  </si>
  <si>
    <t>胡朝乾</t>
    <phoneticPr fontId="20" type="noConversion"/>
  </si>
  <si>
    <t>彭繼賢</t>
    <phoneticPr fontId="20" type="noConversion"/>
  </si>
  <si>
    <t>鄭聖甫</t>
    <phoneticPr fontId="20" type="noConversion"/>
  </si>
  <si>
    <t>林於廷</t>
    <phoneticPr fontId="5" type="noConversion"/>
  </si>
  <si>
    <t>郭盈辰</t>
    <phoneticPr fontId="5" type="noConversion"/>
  </si>
  <si>
    <t>蔡易錚</t>
    <phoneticPr fontId="7" type="noConversion"/>
  </si>
  <si>
    <t>林奎佑</t>
    <phoneticPr fontId="5" type="noConversion"/>
  </si>
  <si>
    <t>季懋欣</t>
    <phoneticPr fontId="7" type="noConversion"/>
  </si>
  <si>
    <t>楊必立</t>
    <phoneticPr fontId="7" type="noConversion"/>
  </si>
  <si>
    <t>林聖哲</t>
    <phoneticPr fontId="7" type="noConversion"/>
  </si>
  <si>
    <t>葉加祿</t>
    <phoneticPr fontId="5" type="noConversion"/>
  </si>
  <si>
    <t>月份</t>
    <phoneticPr fontId="15" type="noConversion"/>
  </si>
  <si>
    <t>陳仲達</t>
    <phoneticPr fontId="20" type="noConversion"/>
  </si>
  <si>
    <t>張翠巖</t>
    <phoneticPr fontId="20" type="noConversion"/>
  </si>
  <si>
    <t>胡念之</t>
    <phoneticPr fontId="20" type="noConversion"/>
  </si>
  <si>
    <t>柳朋馳</t>
    <phoneticPr fontId="20" type="noConversion"/>
  </si>
  <si>
    <t>詹佳達</t>
    <phoneticPr fontId="7" type="noConversion"/>
  </si>
  <si>
    <t>張尚文</t>
    <phoneticPr fontId="7" type="noConversion"/>
  </si>
  <si>
    <t>潘嘉和</t>
    <phoneticPr fontId="7" type="noConversion"/>
  </si>
  <si>
    <t>葉建宏</t>
    <phoneticPr fontId="20" type="noConversion"/>
  </si>
  <si>
    <t>許維志</t>
    <phoneticPr fontId="20" type="noConversion"/>
  </si>
  <si>
    <t>劉子洋</t>
    <phoneticPr fontId="20" type="noConversion"/>
  </si>
  <si>
    <t>張安娜</t>
    <phoneticPr fontId="20" type="noConversion"/>
  </si>
  <si>
    <t>林冠佑</t>
    <phoneticPr fontId="20" type="noConversion"/>
  </si>
  <si>
    <t>陳怡伶</t>
    <phoneticPr fontId="20" type="noConversion"/>
  </si>
  <si>
    <t>依班表</t>
    <phoneticPr fontId="20" type="noConversion"/>
  </si>
  <si>
    <t>黃莉文</t>
    <phoneticPr fontId="20" type="noConversion"/>
  </si>
  <si>
    <t>各醫療科助理聯繫方式</t>
    <phoneticPr fontId="7" type="noConversion"/>
  </si>
  <si>
    <t>科助理</t>
    <phoneticPr fontId="7" type="noConversion"/>
  </si>
  <si>
    <t>分機</t>
    <phoneticPr fontId="7" type="noConversion"/>
  </si>
  <si>
    <t>內科部</t>
    <phoneticPr fontId="7" type="noConversion"/>
  </si>
  <si>
    <t>陳佩翔</t>
    <phoneticPr fontId="7" type="noConversion"/>
  </si>
  <si>
    <t>蕭志佩</t>
    <phoneticPr fontId="7" type="noConversion"/>
  </si>
  <si>
    <t>黃瀞玉</t>
    <phoneticPr fontId="7" type="noConversion"/>
  </si>
  <si>
    <t>林欣玲</t>
    <phoneticPr fontId="7" type="noConversion"/>
  </si>
  <si>
    <t>黃雅莉</t>
    <phoneticPr fontId="7" type="noConversion"/>
  </si>
  <si>
    <t>王玠雯</t>
    <phoneticPr fontId="7" type="noConversion"/>
  </si>
  <si>
    <t>外科部</t>
    <phoneticPr fontId="7" type="noConversion"/>
  </si>
  <si>
    <t>外科部、一般外科</t>
  </si>
  <si>
    <t>張惠淳</t>
    <phoneticPr fontId="7" type="noConversion"/>
  </si>
  <si>
    <t>吳明娟</t>
    <phoneticPr fontId="7" type="noConversion"/>
  </si>
  <si>
    <t>張妙瓊</t>
  </si>
  <si>
    <t>骨科</t>
    <phoneticPr fontId="7" type="noConversion"/>
  </si>
  <si>
    <t>陳姿蒨</t>
    <phoneticPr fontId="7" type="noConversion"/>
  </si>
  <si>
    <t>劉育綺</t>
    <phoneticPr fontId="7" type="noConversion"/>
  </si>
  <si>
    <t>洪婉君#2593</t>
    <phoneticPr fontId="7" type="noConversion"/>
  </si>
  <si>
    <t>其他專科</t>
    <phoneticPr fontId="7" type="noConversion"/>
  </si>
  <si>
    <t>郭珈伶</t>
    <phoneticPr fontId="7" type="noConversion"/>
  </si>
  <si>
    <t>小兒科</t>
    <phoneticPr fontId="7" type="noConversion"/>
  </si>
  <si>
    <t>黃美瑜</t>
    <phoneticPr fontId="7" type="noConversion"/>
  </si>
  <si>
    <t>黃琪絜</t>
    <phoneticPr fontId="7" type="noConversion"/>
  </si>
  <si>
    <t>神經科、老年醫學科</t>
    <phoneticPr fontId="7" type="noConversion"/>
  </si>
  <si>
    <t>戴翌安</t>
    <phoneticPr fontId="7" type="noConversion"/>
  </si>
  <si>
    <t>陳昭秀</t>
    <phoneticPr fontId="7" type="noConversion"/>
  </si>
  <si>
    <t>曾怡綸</t>
  </si>
  <si>
    <t>洪秀菊</t>
    <phoneticPr fontId="7" type="noConversion"/>
  </si>
  <si>
    <t>徐志瑋</t>
    <phoneticPr fontId="7" type="noConversion"/>
  </si>
  <si>
    <t>林淑敏</t>
    <phoneticPr fontId="7" type="noConversion"/>
  </si>
  <si>
    <t>張純蓮</t>
    <phoneticPr fontId="7" type="noConversion"/>
  </si>
  <si>
    <t>精神科、家醫科</t>
    <phoneticPr fontId="7" type="noConversion"/>
  </si>
  <si>
    <t>陳淑娟</t>
    <phoneticPr fontId="7" type="noConversion"/>
  </si>
  <si>
    <t>包若敏</t>
    <phoneticPr fontId="7" type="noConversion"/>
  </si>
  <si>
    <t>張妙瓊</t>
    <phoneticPr fontId="7" type="noConversion"/>
  </si>
  <si>
    <t>E-mail</t>
    <phoneticPr fontId="7" type="noConversion"/>
  </si>
  <si>
    <r>
      <rPr>
        <sz val="12"/>
        <color theme="1"/>
        <rFont val="標楷體"/>
        <family val="4"/>
        <charset val="136"/>
      </rPr>
      <t>社區：鄭婷元</t>
    </r>
    <phoneticPr fontId="7" type="noConversion"/>
  </si>
  <si>
    <t>(02)2835-3456#8113</t>
    <phoneticPr fontId="7" type="noConversion"/>
  </si>
  <si>
    <t>Z5284@tpech.gov.tw</t>
    <phoneticPr fontId="7" type="noConversion"/>
  </si>
  <si>
    <r>
      <rPr>
        <sz val="12"/>
        <color theme="1"/>
        <rFont val="標楷體"/>
        <family val="4"/>
        <charset val="136"/>
      </rPr>
      <t>內科：陳品嫙</t>
    </r>
    <phoneticPr fontId="7" type="noConversion"/>
  </si>
  <si>
    <t>0979309048</t>
    <phoneticPr fontId="7" type="noConversion"/>
  </si>
  <si>
    <t>venus033172@kimo.com</t>
    <phoneticPr fontId="7" type="noConversion"/>
  </si>
  <si>
    <r>
      <rPr>
        <sz val="12"/>
        <color theme="1"/>
        <rFont val="標楷體"/>
        <family val="4"/>
        <charset val="136"/>
      </rPr>
      <t>外科：李宜潸</t>
    </r>
    <phoneticPr fontId="7" type="noConversion"/>
  </si>
  <si>
    <t>0979309017</t>
    <phoneticPr fontId="7" type="noConversion"/>
  </si>
  <si>
    <t>B1791@tpech.gov.tw</t>
    <phoneticPr fontId="7" type="noConversion"/>
  </si>
  <si>
    <r>
      <rPr>
        <sz val="12"/>
        <color theme="1"/>
        <rFont val="標楷體"/>
        <family val="4"/>
        <charset val="136"/>
      </rPr>
      <t>兒科：陳健芬</t>
    </r>
    <phoneticPr fontId="7" type="noConversion"/>
  </si>
  <si>
    <t>0979308939</t>
    <phoneticPr fontId="7" type="noConversion"/>
  </si>
  <si>
    <t>B1931@tpech.gov.tw</t>
    <phoneticPr fontId="7" type="noConversion"/>
  </si>
  <si>
    <r>
      <rPr>
        <sz val="12"/>
        <color theme="1"/>
        <rFont val="標楷體"/>
        <family val="4"/>
        <charset val="136"/>
      </rPr>
      <t>公務機：</t>
    </r>
    <r>
      <rPr>
        <sz val="12"/>
        <color theme="1"/>
        <rFont val="Times New Roman"/>
        <family val="1"/>
      </rPr>
      <t>0905-210-724
(02)2552-3234#3119</t>
    </r>
    <phoneticPr fontId="7" type="noConversion"/>
  </si>
  <si>
    <t>t1283@tpech.gov.tw</t>
    <phoneticPr fontId="7" type="noConversion"/>
  </si>
  <si>
    <r>
      <rPr>
        <sz val="12"/>
        <color theme="1"/>
        <rFont val="標楷體"/>
        <family val="4"/>
        <charset val="136"/>
      </rPr>
      <t>社區、外科、兒科：
陳柏融、廖峰偉</t>
    </r>
    <phoneticPr fontId="7" type="noConversion"/>
  </si>
  <si>
    <t>(02)2786-1288#8263#8270</t>
    <phoneticPr fontId="7" type="noConversion"/>
  </si>
  <si>
    <r>
      <rPr>
        <sz val="12"/>
        <color theme="1"/>
        <rFont val="標楷體"/>
        <family val="4"/>
        <charset val="136"/>
      </rPr>
      <t>林毅欣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黃富麗</t>
    </r>
    <phoneticPr fontId="7" type="noConversion"/>
  </si>
  <si>
    <t>(02)2771-8151#2989</t>
    <phoneticPr fontId="7" type="noConversion"/>
  </si>
  <si>
    <r>
      <rPr>
        <sz val="12"/>
        <color theme="1"/>
        <rFont val="標楷體"/>
        <family val="4"/>
        <charset val="136"/>
      </rPr>
      <t>張妤安督導</t>
    </r>
    <phoneticPr fontId="7" type="noConversion"/>
  </si>
  <si>
    <t>(02)2896-5555</t>
    <phoneticPr fontId="7" type="noConversion"/>
  </si>
  <si>
    <r>
      <rPr>
        <sz val="12"/>
        <color theme="1"/>
        <rFont val="標楷體"/>
        <family val="4"/>
        <charset val="136"/>
      </rPr>
      <t>賴儷文</t>
    </r>
    <phoneticPr fontId="7" type="noConversion"/>
  </si>
  <si>
    <t>(02)29829111 #3361</t>
    <phoneticPr fontId="7" type="noConversion"/>
  </si>
  <si>
    <t xml:space="preserve">
</t>
    <phoneticPr fontId="7" type="noConversion"/>
  </si>
  <si>
    <r>
      <rPr>
        <sz val="12"/>
        <color theme="1"/>
        <rFont val="標楷體"/>
        <family val="4"/>
        <charset val="136"/>
      </rPr>
      <t>林書羽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張依婷</t>
    </r>
    <phoneticPr fontId="7" type="noConversion"/>
  </si>
  <si>
    <t>(03)9543131-5433</t>
    <phoneticPr fontId="7" type="noConversion"/>
  </si>
  <si>
    <r>
      <rPr>
        <sz val="12"/>
        <color theme="1"/>
        <rFont val="標楷體"/>
        <family val="4"/>
        <charset val="136"/>
      </rPr>
      <t>吳思婷</t>
    </r>
    <phoneticPr fontId="7" type="noConversion"/>
  </si>
  <si>
    <r>
      <t>089-310150</t>
    </r>
    <r>
      <rPr>
        <sz val="12"/>
        <color theme="1"/>
        <rFont val="標楷體"/>
        <family val="4"/>
        <charset val="136"/>
      </rPr>
      <t>分機</t>
    </r>
    <r>
      <rPr>
        <sz val="12"/>
        <color theme="1"/>
        <rFont val="Times New Roman"/>
        <family val="1"/>
      </rPr>
      <t>201,211</t>
    </r>
  </si>
  <si>
    <t>moana.g256@mmh.org.tw</t>
    <phoneticPr fontId="7" type="noConversion"/>
  </si>
  <si>
    <r>
      <rPr>
        <sz val="12"/>
        <color theme="1"/>
        <rFont val="標楷體"/>
        <family val="4"/>
        <charset val="136"/>
      </rPr>
      <t>傅承華</t>
    </r>
    <phoneticPr fontId="7" type="noConversion"/>
  </si>
  <si>
    <t>03-4799595#326281</t>
    <phoneticPr fontId="7" type="noConversion"/>
  </si>
  <si>
    <t>fuch@aftygh.gov.tw</t>
    <phoneticPr fontId="7" type="noConversion"/>
  </si>
  <si>
    <r>
      <rPr>
        <sz val="12"/>
        <color theme="1"/>
        <rFont val="標楷體"/>
        <family val="4"/>
        <charset val="136"/>
      </rPr>
      <t>吳明容</t>
    </r>
    <phoneticPr fontId="7" type="noConversion"/>
  </si>
  <si>
    <r>
      <t>08-7368686</t>
    </r>
    <r>
      <rPr>
        <sz val="12"/>
        <color theme="1"/>
        <rFont val="標楷體"/>
        <family val="4"/>
        <charset val="136"/>
      </rPr>
      <t>分機</t>
    </r>
    <r>
      <rPr>
        <sz val="12"/>
        <color theme="1"/>
        <rFont val="Times New Roman"/>
        <family val="1"/>
      </rPr>
      <t>1701</t>
    </r>
    <r>
      <rPr>
        <sz val="12"/>
        <color theme="1"/>
        <rFont val="標楷體"/>
        <family val="4"/>
        <charset val="136"/>
      </rPr>
      <t>轉</t>
    </r>
    <r>
      <rPr>
        <sz val="12"/>
        <color theme="1"/>
        <rFont val="Times New Roman"/>
        <family val="1"/>
      </rPr>
      <t>112</t>
    </r>
    <phoneticPr fontId="7" type="noConversion"/>
  </si>
  <si>
    <t>03092@ptch.org.tw</t>
    <phoneticPr fontId="7" type="noConversion"/>
  </si>
  <si>
    <r>
      <rPr>
        <sz val="12"/>
        <color theme="1"/>
        <rFont val="標楷體"/>
        <family val="4"/>
        <charset val="136"/>
      </rPr>
      <t>陳櫻專</t>
    </r>
    <phoneticPr fontId="7" type="noConversion"/>
  </si>
  <si>
    <t>(02)28587000#1080</t>
  </si>
  <si>
    <t>ycchen@gandau.gov.tw</t>
    <phoneticPr fontId="7" type="noConversion"/>
  </si>
  <si>
    <r>
      <rPr>
        <sz val="12"/>
        <color theme="1"/>
        <rFont val="標楷體"/>
        <family val="4"/>
        <charset val="136"/>
      </rPr>
      <t>李馥蓉</t>
    </r>
    <phoneticPr fontId="7" type="noConversion"/>
  </si>
  <si>
    <t>(02)29286060#10654</t>
    <phoneticPr fontId="7" type="noConversion"/>
  </si>
  <si>
    <t>pgy0229286060@gmail.com</t>
    <phoneticPr fontId="7" type="noConversion"/>
  </si>
  <si>
    <t>cyh0902@kfsyscc.org</t>
    <phoneticPr fontId="7" type="noConversion"/>
  </si>
  <si>
    <t>janey@kfsyscc.org</t>
    <phoneticPr fontId="7" type="noConversion"/>
  </si>
  <si>
    <r>
      <rPr>
        <sz val="12"/>
        <color theme="1"/>
        <rFont val="標楷體"/>
        <family val="4"/>
        <charset val="136"/>
      </rPr>
      <t>醫院</t>
    </r>
    <phoneticPr fontId="7" type="noConversion"/>
  </si>
  <si>
    <r>
      <rPr>
        <sz val="12"/>
        <color theme="1"/>
        <rFont val="標楷體"/>
        <family val="4"/>
        <charset val="136"/>
      </rPr>
      <t>承辦人</t>
    </r>
    <phoneticPr fontId="7" type="noConversion"/>
  </si>
  <si>
    <r>
      <rPr>
        <sz val="12"/>
        <color theme="1"/>
        <rFont val="標楷體"/>
        <family val="4"/>
        <charset val="136"/>
      </rPr>
      <t>連絡電話</t>
    </r>
    <phoneticPr fontId="7" type="noConversion"/>
  </si>
  <si>
    <t>合作醫院聯絡人</t>
    <phoneticPr fontId="7" type="noConversion"/>
  </si>
  <si>
    <r>
      <rPr>
        <sz val="12"/>
        <color theme="1"/>
        <rFont val="標楷體"/>
        <family val="4"/>
        <charset val="136"/>
      </rPr>
      <t>陽明</t>
    </r>
  </si>
  <si>
    <t>合作醫院</t>
  </si>
  <si>
    <t>聯絡人</t>
  </si>
  <si>
    <t>聯絡電話</t>
  </si>
  <si>
    <t>台北市立聯合醫院陽明院區</t>
    <phoneticPr fontId="7" type="noConversion"/>
  </si>
  <si>
    <t>社區：鄭婷元</t>
    <phoneticPr fontId="7" type="noConversion"/>
  </si>
  <si>
    <t>內科：陳品嫙</t>
    <phoneticPr fontId="7" type="noConversion"/>
  </si>
  <si>
    <t>外科：李宜潸</t>
    <phoneticPr fontId="7" type="noConversion"/>
  </si>
  <si>
    <r>
      <rPr>
        <sz val="12"/>
        <color theme="1"/>
        <rFont val="標楷體"/>
        <family val="4"/>
        <charset val="136"/>
      </rPr>
      <t>中興</t>
    </r>
  </si>
  <si>
    <r>
      <rPr>
        <sz val="12"/>
        <color theme="1"/>
        <rFont val="標楷體"/>
        <family val="4"/>
        <charset val="136"/>
      </rPr>
      <t>龔致瑩</t>
    </r>
    <phoneticPr fontId="7" type="noConversion"/>
  </si>
  <si>
    <t>兒科：陳健芬</t>
    <phoneticPr fontId="7" type="noConversion"/>
  </si>
  <si>
    <r>
      <rPr>
        <sz val="12"/>
        <color theme="1"/>
        <rFont val="標楷體"/>
        <family val="4"/>
        <charset val="136"/>
      </rPr>
      <t>忠孝</t>
    </r>
  </si>
  <si>
    <t>台北市立聯合醫院中興院區</t>
    <phoneticPr fontId="7" type="noConversion"/>
  </si>
  <si>
    <t>社區：龔致瑩</t>
    <phoneticPr fontId="7" type="noConversion"/>
  </si>
  <si>
    <t>公務機：0905-210-724
(02)2552-3234#3119</t>
    <phoneticPr fontId="7" type="noConversion"/>
  </si>
  <si>
    <r>
      <rPr>
        <sz val="12"/>
        <color theme="1"/>
        <rFont val="標楷體"/>
        <family val="4"/>
        <charset val="136"/>
      </rPr>
      <t>內科：程芷柔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助理</t>
    </r>
    <r>
      <rPr>
        <sz val="12"/>
        <color theme="1"/>
        <rFont val="Times New Roman"/>
        <family val="1"/>
      </rPr>
      <t>)</t>
    </r>
    <phoneticPr fontId="7" type="noConversion"/>
  </si>
  <si>
    <t>(02)2786-1288#8867</t>
    <phoneticPr fontId="7" type="noConversion"/>
  </si>
  <si>
    <t>台北市立聯合醫院忠孝院區</t>
    <phoneticPr fontId="7" type="noConversion"/>
  </si>
  <si>
    <t>社區、外科、兒科：
陳柏融、廖峰偉</t>
    <phoneticPr fontId="7" type="noConversion"/>
  </si>
  <si>
    <t>Z2093@tpech.gov.tw、A1328@tpech.gov.tw</t>
    <phoneticPr fontId="7" type="noConversion"/>
  </si>
  <si>
    <r>
      <rPr>
        <sz val="12"/>
        <color theme="1"/>
        <rFont val="標楷體"/>
        <family val="4"/>
        <charset val="136"/>
      </rPr>
      <t>臺安</t>
    </r>
  </si>
  <si>
    <t>內科：張宥洵</t>
    <phoneticPr fontId="7" type="noConversion"/>
  </si>
  <si>
    <r>
      <rPr>
        <sz val="12"/>
        <color theme="1"/>
        <rFont val="標楷體"/>
        <family val="4"/>
        <charset val="136"/>
      </rPr>
      <t>貴族</t>
    </r>
  </si>
  <si>
    <t>基督復臨安息日會醫療財團法人臺安醫院</t>
    <phoneticPr fontId="7" type="noConversion"/>
  </si>
  <si>
    <t>林毅欣/黃富麗</t>
    <phoneticPr fontId="7" type="noConversion"/>
  </si>
  <si>
    <t>150646@tahsda.org.tw(林毅欣)、162024@tahsda.org.tw(黃富麗)</t>
    <phoneticPr fontId="7" type="noConversion"/>
  </si>
  <si>
    <r>
      <rPr>
        <sz val="12"/>
        <color theme="1"/>
        <rFont val="標楷體"/>
        <family val="4"/>
        <charset val="136"/>
      </rPr>
      <t>新北</t>
    </r>
  </si>
  <si>
    <t>臺北市私立貴族老人長期照護中心</t>
    <phoneticPr fontId="7" type="noConversion"/>
  </si>
  <si>
    <t>張妤安督導</t>
    <phoneticPr fontId="7" type="noConversion"/>
  </si>
  <si>
    <t>noahsang@gmail.com(桑予群主任)、maggie0607@gmail.com(妤安督導)</t>
    <phoneticPr fontId="7" type="noConversion"/>
  </si>
  <si>
    <r>
      <rPr>
        <sz val="12"/>
        <color theme="1"/>
        <rFont val="標楷體"/>
        <family val="4"/>
        <charset val="136"/>
      </rPr>
      <t>羅東</t>
    </r>
  </si>
  <si>
    <t>新北市立聯合醫院</t>
    <phoneticPr fontId="7" type="noConversion"/>
  </si>
  <si>
    <r>
      <rPr>
        <sz val="12"/>
        <color theme="1"/>
        <rFont val="標楷體"/>
        <family val="4"/>
        <charset val="136"/>
      </rPr>
      <t>台東馬偕</t>
    </r>
    <phoneticPr fontId="7" type="noConversion"/>
  </si>
  <si>
    <t>醫療財團法人羅許基金會羅東博愛醫院</t>
    <phoneticPr fontId="7" type="noConversion"/>
  </si>
  <si>
    <t>林書羽/張依婷</t>
    <phoneticPr fontId="7" type="noConversion"/>
  </si>
  <si>
    <t>997016@mail.pohai.org.tw(林書羽)、c112008@mail.pohai.org.tw(張依婷)</t>
    <phoneticPr fontId="7" type="noConversion"/>
  </si>
  <si>
    <r>
      <rPr>
        <sz val="12"/>
        <color theme="1"/>
        <rFont val="標楷體"/>
        <family val="4"/>
        <charset val="136"/>
      </rPr>
      <t>國軍桃園</t>
    </r>
  </si>
  <si>
    <t>馬偕紀念醫院台東分院</t>
    <phoneticPr fontId="7" type="noConversion"/>
  </si>
  <si>
    <t>吳思婷</t>
    <phoneticPr fontId="7" type="noConversion"/>
  </si>
  <si>
    <t>089-310150分機201,211</t>
  </si>
  <si>
    <r>
      <rPr>
        <sz val="12"/>
        <color theme="1"/>
        <rFont val="標楷體"/>
        <family val="4"/>
        <charset val="136"/>
      </rPr>
      <t>屏基</t>
    </r>
  </si>
  <si>
    <r>
      <rPr>
        <sz val="12"/>
        <color theme="1"/>
        <rFont val="標楷體"/>
        <family val="4"/>
        <charset val="136"/>
      </rPr>
      <t>林佳儒</t>
    </r>
    <phoneticPr fontId="7" type="noConversion"/>
  </si>
  <si>
    <r>
      <t>08-7368686</t>
    </r>
    <r>
      <rPr>
        <sz val="12"/>
        <color theme="1"/>
        <rFont val="標楷體"/>
        <family val="4"/>
        <charset val="136"/>
      </rPr>
      <t>分機</t>
    </r>
    <r>
      <rPr>
        <sz val="12"/>
        <color theme="1"/>
        <rFont val="Times New Roman"/>
        <family val="1"/>
      </rPr>
      <t>1701</t>
    </r>
    <r>
      <rPr>
        <sz val="12"/>
        <color theme="1"/>
        <rFont val="標楷體"/>
        <family val="4"/>
        <charset val="136"/>
      </rPr>
      <t>轉</t>
    </r>
    <r>
      <rPr>
        <sz val="12"/>
        <color theme="1"/>
        <rFont val="Times New Roman"/>
        <family val="1"/>
      </rPr>
      <t>115</t>
    </r>
    <phoneticPr fontId="7" type="noConversion"/>
  </si>
  <si>
    <t>國軍桃園總醫院附設民眾診療服務處</t>
    <phoneticPr fontId="7" type="noConversion"/>
  </si>
  <si>
    <t>傅承華</t>
    <phoneticPr fontId="7" type="noConversion"/>
  </si>
  <si>
    <t>屏基醫療財團法人屏東基督教醫院</t>
    <phoneticPr fontId="7" type="noConversion"/>
  </si>
  <si>
    <t>林佳儒</t>
    <phoneticPr fontId="7" type="noConversion"/>
  </si>
  <si>
    <t>08-7368686分機1701轉115</t>
    <phoneticPr fontId="7" type="noConversion"/>
  </si>
  <si>
    <t>06635@ptch.org.tw</t>
    <phoneticPr fontId="7" type="noConversion"/>
  </si>
  <si>
    <r>
      <rPr>
        <sz val="12"/>
        <color theme="1"/>
        <rFont val="標楷體"/>
        <family val="4"/>
        <charset val="136"/>
      </rPr>
      <t>關渡</t>
    </r>
  </si>
  <si>
    <t>吳明容</t>
    <phoneticPr fontId="7" type="noConversion"/>
  </si>
  <si>
    <t>08-7368686分機1701轉112</t>
    <phoneticPr fontId="7" type="noConversion"/>
  </si>
  <si>
    <r>
      <rPr>
        <sz val="12"/>
        <color theme="1"/>
        <rFont val="標楷體"/>
        <family val="4"/>
        <charset val="136"/>
      </rPr>
      <t>永和耕莘</t>
    </r>
  </si>
  <si>
    <t>臺北市立關渡醫院─委託臺北榮民總醫院經營</t>
    <phoneticPr fontId="7" type="noConversion"/>
  </si>
  <si>
    <t>陳櫻專</t>
    <phoneticPr fontId="7" type="noConversion"/>
  </si>
  <si>
    <r>
      <rPr>
        <sz val="12"/>
        <color theme="1"/>
        <rFont val="標楷體"/>
        <family val="4"/>
        <charset val="136"/>
      </rPr>
      <t>土城</t>
    </r>
  </si>
  <si>
    <t>(02)22630588 #6007</t>
    <phoneticPr fontId="7" type="noConversion"/>
  </si>
  <si>
    <t>天主教耕莘醫療財團法人永和耕莘醫院</t>
    <phoneticPr fontId="7" type="noConversion"/>
  </si>
  <si>
    <t>李馥蓉</t>
    <phoneticPr fontId="7" type="noConversion"/>
  </si>
  <si>
    <r>
      <rPr>
        <sz val="12"/>
        <color theme="1"/>
        <rFont val="標楷體"/>
        <family val="4"/>
        <charset val="136"/>
      </rPr>
      <t>和信</t>
    </r>
  </si>
  <si>
    <r>
      <rPr>
        <sz val="12"/>
        <color theme="1"/>
        <rFont val="標楷體"/>
        <family val="4"/>
        <charset val="136"/>
      </rPr>
      <t>黃祥瑞</t>
    </r>
  </si>
  <si>
    <r>
      <t>2897-0011</t>
    </r>
    <r>
      <rPr>
        <sz val="12"/>
        <color theme="1"/>
        <rFont val="標楷體"/>
        <family val="4"/>
        <charset val="136"/>
      </rPr>
      <t>分機</t>
    </r>
    <r>
      <rPr>
        <sz val="12"/>
        <color theme="1"/>
        <rFont val="Times New Roman"/>
        <family val="1"/>
      </rPr>
      <t>3324</t>
    </r>
    <phoneticPr fontId="7" type="noConversion"/>
  </si>
  <si>
    <t>新北市立土城醫院─委託長庚醫療財團法人興建經營</t>
    <phoneticPr fontId="7" type="noConversion"/>
  </si>
  <si>
    <t>和信</t>
    <phoneticPr fontId="7" type="noConversion"/>
  </si>
  <si>
    <t>林沛靜
黃祥瑞</t>
    <phoneticPr fontId="7" type="noConversion"/>
  </si>
  <si>
    <t>林：02-6603-1352(專線)
林：02-2897-0011 ext.3324(育嬰)
黃：2897-0011分機3324</t>
    <phoneticPr fontId="7" type="noConversion"/>
  </si>
  <si>
    <t>林沛靜:pchlin@kfsyscc.org
黃祥瑞sarahhuang024@kfsyscc.org</t>
    <phoneticPr fontId="7" type="noConversion"/>
  </si>
  <si>
    <t>莊于萱</t>
    <phoneticPr fontId="7" type="noConversion"/>
  </si>
  <si>
    <t>02-2897-0011分機3324</t>
    <phoneticPr fontId="7" type="noConversion"/>
  </si>
  <si>
    <t xml:space="preserve">陳慧真組長 </t>
    <phoneticPr fontId="7" type="noConversion"/>
  </si>
  <si>
    <t>02-2897-0011分機3318</t>
    <phoneticPr fontId="7" type="noConversion"/>
  </si>
  <si>
    <t>社區(中興)</t>
    <phoneticPr fontId="7" type="noConversion"/>
  </si>
  <si>
    <t>115學年度醫畢業一般醫學訓練計畫</t>
    <phoneticPr fontId="7" type="noConversion"/>
  </si>
  <si>
    <t>徐培菘</t>
    <phoneticPr fontId="7" type="noConversion"/>
  </si>
  <si>
    <t>張正皓</t>
    <phoneticPr fontId="5" type="noConversion"/>
  </si>
  <si>
    <t>胃腸肝膽科依下方表列</t>
    <phoneticPr fontId="15" type="noConversion"/>
  </si>
  <si>
    <t>血液腫瘤科</t>
    <phoneticPr fontId="15" type="noConversion"/>
  </si>
  <si>
    <t>神經科</t>
    <phoneticPr fontId="15" type="noConversion"/>
  </si>
  <si>
    <t>陳隆景</t>
    <phoneticPr fontId="15" type="noConversion"/>
  </si>
  <si>
    <t>鍾伯欣</t>
    <phoneticPr fontId="15" type="noConversion"/>
  </si>
  <si>
    <t>賴威廷</t>
    <phoneticPr fontId="15" type="noConversion"/>
  </si>
  <si>
    <t>陳冠任</t>
    <phoneticPr fontId="15" type="noConversion"/>
  </si>
  <si>
    <t>王子林</t>
    <phoneticPr fontId="15" type="noConversion"/>
  </si>
  <si>
    <t>羅皓允</t>
    <phoneticPr fontId="15" type="noConversion"/>
  </si>
  <si>
    <t>D</t>
    <phoneticPr fontId="7" type="noConversion"/>
  </si>
  <si>
    <t>白雪芬(MICU)</t>
    <phoneticPr fontId="7" type="noConversion"/>
  </si>
  <si>
    <t>賴君宇</t>
    <phoneticPr fontId="15" type="noConversion"/>
  </si>
  <si>
    <t>方昱偉</t>
    <phoneticPr fontId="15" type="noConversion"/>
  </si>
  <si>
    <t>林秉熙</t>
    <phoneticPr fontId="15" type="noConversion"/>
  </si>
  <si>
    <t>呂理哲</t>
    <phoneticPr fontId="15" type="noConversion"/>
  </si>
  <si>
    <t>張瑞廷</t>
    <phoneticPr fontId="15" type="noConversion"/>
  </si>
  <si>
    <t>吳重寬</t>
    <phoneticPr fontId="15" type="noConversion"/>
  </si>
  <si>
    <t>張名鑫</t>
  </si>
  <si>
    <t>張鴻俊</t>
    <phoneticPr fontId="7" type="noConversion"/>
  </si>
  <si>
    <t>許榮輝</t>
    <phoneticPr fontId="7" type="noConversion"/>
  </si>
  <si>
    <t>徐維謙</t>
    <phoneticPr fontId="7" type="noConversion"/>
  </si>
  <si>
    <t>孫灼基</t>
    <phoneticPr fontId="7" type="noConversion"/>
  </si>
  <si>
    <t>張麗文</t>
    <phoneticPr fontId="7" type="noConversion"/>
  </si>
  <si>
    <t>廖俊堯</t>
    <phoneticPr fontId="7" type="noConversion"/>
  </si>
  <si>
    <t>林裕民</t>
    <phoneticPr fontId="7" type="noConversion"/>
  </si>
  <si>
    <t>賴冠宏</t>
    <phoneticPr fontId="7" type="noConversion"/>
  </si>
  <si>
    <t>115年度畢業後一般醫學訓練學程-一般醫學科教學病房(6B)</t>
    <phoneticPr fontId="7" type="noConversion"/>
  </si>
  <si>
    <t>王孝為</t>
    <phoneticPr fontId="5" type="noConversion"/>
  </si>
  <si>
    <t>仇光宇</t>
    <phoneticPr fontId="7" type="noConversion"/>
  </si>
  <si>
    <t>呂冠廷</t>
    <phoneticPr fontId="7" type="noConversion"/>
  </si>
  <si>
    <t>張耀仁</t>
    <phoneticPr fontId="7" type="noConversion"/>
  </si>
  <si>
    <t>蔡可威</t>
    <phoneticPr fontId="7" type="noConversion"/>
  </si>
  <si>
    <t>王孔民</t>
    <phoneticPr fontId="7" type="noConversion"/>
  </si>
  <si>
    <t>廖振焜</t>
    <phoneticPr fontId="7" type="noConversion"/>
  </si>
  <si>
    <t>115年度畢業後一般醫學訓練學程-外科(表1)</t>
    <phoneticPr fontId="7" type="noConversion"/>
  </si>
  <si>
    <t>115年度畢業後一般醫學訓練學程-內科</t>
    <phoneticPr fontId="7" type="noConversion"/>
  </si>
  <si>
    <t>115年度畢業後一般醫學訓練學程-外科(表2)</t>
    <phoneticPr fontId="15" type="noConversion"/>
  </si>
  <si>
    <t>林鈺萌</t>
    <phoneticPr fontId="15" type="noConversion"/>
  </si>
  <si>
    <t>朱振綸</t>
    <phoneticPr fontId="7" type="noConversion"/>
  </si>
  <si>
    <t>温文馨</t>
    <phoneticPr fontId="7" type="noConversion"/>
  </si>
  <si>
    <t>董恩傑</t>
    <phoneticPr fontId="7" type="noConversion"/>
  </si>
  <si>
    <t>謝如蘭</t>
    <phoneticPr fontId="7" type="noConversion"/>
  </si>
  <si>
    <t>吳幸美</t>
    <phoneticPr fontId="7" type="noConversion"/>
  </si>
  <si>
    <t>李佳融</t>
  </si>
  <si>
    <t xml:space="preserve">                                                                                                                                                         </t>
    <phoneticPr fontId="7" type="noConversion"/>
  </si>
  <si>
    <t>陳儒廷</t>
  </si>
  <si>
    <t>陳志學</t>
    <phoneticPr fontId="7" type="noConversion"/>
  </si>
  <si>
    <t>陳昱宏</t>
    <phoneticPr fontId="7" type="noConversion"/>
  </si>
  <si>
    <t>陳俊光</t>
    <phoneticPr fontId="7" type="noConversion"/>
  </si>
  <si>
    <t>田心喬</t>
    <phoneticPr fontId="7" type="noConversion"/>
  </si>
  <si>
    <t>徐志雲</t>
    <phoneticPr fontId="7" type="noConversion"/>
  </si>
  <si>
    <t>115年度畢業後一般醫學訓練學程-其他選修科(表1)</t>
    <phoneticPr fontId="7" type="noConversion"/>
  </si>
  <si>
    <t>115年度畢業後一般醫學訓練學程-其他選修科(表2)</t>
    <phoneticPr fontId="7" type="noConversion"/>
  </si>
  <si>
    <t>穆淑琪</t>
    <phoneticPr fontId="7" type="noConversion"/>
  </si>
  <si>
    <t>林明益</t>
    <phoneticPr fontId="7" type="noConversion"/>
  </si>
  <si>
    <t>劉明發</t>
    <phoneticPr fontId="7" type="noConversion"/>
  </si>
  <si>
    <t>王怜人</t>
    <phoneticPr fontId="7" type="noConversion"/>
  </si>
  <si>
    <t>蔡立儀</t>
    <phoneticPr fontId="7" type="noConversion"/>
  </si>
  <si>
    <t>陳士慧</t>
    <phoneticPr fontId="7" type="noConversion"/>
  </si>
  <si>
    <t>張芙曼</t>
    <phoneticPr fontId="7" type="noConversion"/>
  </si>
  <si>
    <t>何鎮宇</t>
    <phoneticPr fontId="7" type="noConversion"/>
  </si>
  <si>
    <t>朱俊誠</t>
    <phoneticPr fontId="7" type="noConversion"/>
  </si>
  <si>
    <t>李毅評</t>
    <phoneticPr fontId="7" type="noConversion"/>
  </si>
  <si>
    <t>呂彥鋒</t>
    <phoneticPr fontId="7" type="noConversion"/>
  </si>
  <si>
    <t>李維鈞</t>
    <phoneticPr fontId="7" type="noConversion"/>
  </si>
  <si>
    <t>楊怡芳</t>
    <phoneticPr fontId="7" type="noConversion"/>
  </si>
  <si>
    <t>游正暐</t>
    <phoneticPr fontId="7" type="noConversion"/>
  </si>
  <si>
    <t>劉瑞德</t>
    <phoneticPr fontId="7" type="noConversion"/>
  </si>
  <si>
    <t>謝汶圻</t>
    <phoneticPr fontId="7" type="noConversion"/>
  </si>
  <si>
    <t>陳立珊</t>
    <phoneticPr fontId="7" type="noConversion"/>
  </si>
  <si>
    <r>
      <t>3.</t>
    </r>
    <r>
      <rPr>
        <sz val="14"/>
        <color theme="1"/>
        <rFont val="微軟正黑體"/>
        <family val="2"/>
        <charset val="136"/>
      </rPr>
      <t>您是否有將六大核心能力運用在臨床教學中</t>
    </r>
    <phoneticPr fontId="16" type="noConversion"/>
  </si>
  <si>
    <r>
      <t>4.</t>
    </r>
    <r>
      <rPr>
        <sz val="14"/>
        <color theme="1"/>
        <rFont val="微軟正黑體"/>
        <family val="2"/>
        <charset val="136"/>
      </rPr>
      <t>您認為六大核心能力訓練對</t>
    </r>
    <r>
      <rPr>
        <sz val="9"/>
        <rFont val="新細明體"/>
        <family val="2"/>
        <charset val="136"/>
        <scheme val="minor"/>
      </rPr>
      <t>PGY</t>
    </r>
    <r>
      <rPr>
        <sz val="14"/>
        <color theme="1"/>
        <rFont val="微軟正黑體"/>
        <family val="2"/>
        <charset val="136"/>
      </rPr>
      <t>學員學習之重要性</t>
    </r>
    <phoneticPr fontId="16" type="noConversion"/>
  </si>
  <si>
    <r>
      <t>5.</t>
    </r>
    <r>
      <rPr>
        <sz val="14"/>
        <color theme="1"/>
        <rFont val="微軟正黑體"/>
        <family val="2"/>
        <charset val="136"/>
      </rPr>
      <t>您對科內安排</t>
    </r>
    <r>
      <rPr>
        <sz val="9"/>
        <rFont val="新細明體"/>
        <family val="2"/>
        <charset val="136"/>
        <scheme val="minor"/>
      </rPr>
      <t>PGY</t>
    </r>
    <r>
      <rPr>
        <sz val="14"/>
        <color theme="1"/>
        <rFont val="微軟正黑體"/>
        <family val="2"/>
        <charset val="136"/>
      </rPr>
      <t>訓練課程之整體滿意度</t>
    </r>
    <phoneticPr fontId="16" type="noConversion"/>
  </si>
  <si>
    <t>115年度畢業後一般醫學訓練學程-兒科</t>
    <phoneticPr fontId="7" type="noConversion"/>
  </si>
  <si>
    <t>1150801-1160731</t>
    <phoneticPr fontId="7" type="noConversion"/>
  </si>
  <si>
    <t>115年度畢業後一般醫學訓練學程-婦產科</t>
    <phoneticPr fontId="7" type="noConversion"/>
  </si>
  <si>
    <t>1150801-1160731</t>
    <phoneticPr fontId="5" type="noConversion"/>
  </si>
  <si>
    <t>115年度畢業後一般醫學訓練學程-急診科
訓練學程-急診科</t>
    <phoneticPr fontId="7" type="noConversion"/>
  </si>
  <si>
    <t>115年度畢業後一般醫學訓練學程PGY2-老年醫學</t>
    <phoneticPr fontId="15" type="noConversion"/>
  </si>
  <si>
    <t>1150801-1160731</t>
    <phoneticPr fontId="15" type="noConversion"/>
  </si>
  <si>
    <t>林威佑、葉鎧境、陳霈容</t>
    <phoneticPr fontId="5" type="noConversion"/>
  </si>
  <si>
    <t>PGY2-張汝禎</t>
    <phoneticPr fontId="5" type="noConversion"/>
  </si>
  <si>
    <t>PGY2-鄒曉揚</t>
    <phoneticPr fontId="7" type="noConversion"/>
  </si>
  <si>
    <t>PGY2-林家助</t>
    <phoneticPr fontId="5" type="noConversion"/>
  </si>
  <si>
    <t>PGY2-李昀庭</t>
    <phoneticPr fontId="7" type="noConversion"/>
  </si>
  <si>
    <t>113延PGY2-張大中</t>
    <phoneticPr fontId="7" type="noConversion"/>
  </si>
  <si>
    <t>113延PGY2-李沛東</t>
    <phoneticPr fontId="7" type="noConversion"/>
  </si>
  <si>
    <t>113延PGY2-郭彥希</t>
    <phoneticPr fontId="5" type="noConversion"/>
  </si>
  <si>
    <t>PGY2-沈弘祥</t>
    <phoneticPr fontId="7" type="noConversion"/>
  </si>
  <si>
    <t>PGY2-李宣諠</t>
    <phoneticPr fontId="5" type="noConversion"/>
  </si>
  <si>
    <t>PGY2-郭王雨田</t>
    <phoneticPr fontId="5" type="noConversion"/>
  </si>
  <si>
    <t>PGY2-林享辰</t>
    <phoneticPr fontId="7" type="noConversion"/>
  </si>
  <si>
    <t>PGY2-柯芊劭</t>
    <phoneticPr fontId="7" type="noConversion"/>
  </si>
  <si>
    <t>PGY2-李易淳</t>
    <phoneticPr fontId="7" type="noConversion"/>
  </si>
  <si>
    <t>PGY2-陶孟昀</t>
    <phoneticPr fontId="7" type="noConversion"/>
  </si>
  <si>
    <t>PGY2-林紘睿</t>
    <phoneticPr fontId="5" type="noConversion"/>
  </si>
  <si>
    <t>延PGY2-林蓁芸</t>
    <phoneticPr fontId="7" type="noConversion"/>
  </si>
  <si>
    <t>PGY2-林芷筠</t>
    <phoneticPr fontId="7" type="noConversion"/>
  </si>
  <si>
    <t>PGY2-張乃文</t>
    <phoneticPr fontId="5" type="noConversion"/>
  </si>
  <si>
    <t>延PGY2-黃孟捷</t>
    <phoneticPr fontId="7" type="noConversion"/>
  </si>
  <si>
    <t>PGY2-陳重佑</t>
    <phoneticPr fontId="7" type="noConversion"/>
  </si>
  <si>
    <t>延PGY2-戴翊如</t>
    <phoneticPr fontId="7" type="noConversion"/>
  </si>
  <si>
    <t>延PGY2-謝昇峰</t>
    <phoneticPr fontId="7" type="noConversion"/>
  </si>
  <si>
    <t>PGY2-姜綾嵐</t>
    <phoneticPr fontId="7" type="noConversion"/>
  </si>
  <si>
    <t>PGY2-謝皓穎</t>
    <phoneticPr fontId="5" type="noConversion"/>
  </si>
  <si>
    <t>PGY2-林靖瑄</t>
    <phoneticPr fontId="5" type="noConversion"/>
  </si>
  <si>
    <t>PGY2-陳申霖</t>
    <phoneticPr fontId="7" type="noConversion"/>
  </si>
  <si>
    <t>延PGY2-楊萬暄</t>
    <phoneticPr fontId="7" type="noConversion"/>
  </si>
  <si>
    <t>PGY2-沈珍伊</t>
    <phoneticPr fontId="7" type="noConversion"/>
  </si>
  <si>
    <t>PGY2-徐睿</t>
    <phoneticPr fontId="5" type="noConversion"/>
  </si>
  <si>
    <t>PGY2-林俊毓</t>
    <phoneticPr fontId="7" type="noConversion"/>
  </si>
  <si>
    <t>PGY2-何權</t>
    <phoneticPr fontId="7" type="noConversion"/>
  </si>
  <si>
    <t>延PGY2-林威宏</t>
    <phoneticPr fontId="7" type="noConversion"/>
  </si>
  <si>
    <t>PGY2-張晏植</t>
    <phoneticPr fontId="5" type="noConversion"/>
  </si>
  <si>
    <t>PGY2-張庭恩</t>
    <phoneticPr fontId="5" type="noConversion"/>
  </si>
  <si>
    <t>PGY2-陳富宏</t>
    <phoneticPr fontId="5" type="noConversion"/>
  </si>
  <si>
    <t>PGY2-沈韋齡</t>
    <phoneticPr fontId="5" type="noConversion"/>
  </si>
  <si>
    <t>PGY2-吳佳凌</t>
    <phoneticPr fontId="5" type="noConversion"/>
  </si>
  <si>
    <t>PGY2-張鈺堂</t>
    <phoneticPr fontId="7" type="noConversion"/>
  </si>
  <si>
    <t>PGY1-林云熙</t>
    <phoneticPr fontId="7" type="noConversion"/>
  </si>
  <si>
    <t>PGY1-黃詩豪</t>
    <phoneticPr fontId="7" type="noConversion"/>
  </si>
  <si>
    <t>PGY1-王柏心</t>
    <phoneticPr fontId="7" type="noConversion"/>
  </si>
  <si>
    <t>PGY1-楊日恆</t>
    <phoneticPr fontId="7" type="noConversion"/>
  </si>
  <si>
    <t>PGY1-黃御鵬</t>
    <phoneticPr fontId="7" type="noConversion"/>
  </si>
  <si>
    <t>忠孝</t>
    <phoneticPr fontId="5" type="noConversion"/>
  </si>
  <si>
    <t>游明諭</t>
  </si>
  <si>
    <t>02-22630588#6089</t>
  </si>
  <si>
    <t>黃鈺雯</t>
    <phoneticPr fontId="5" type="noConversion"/>
  </si>
  <si>
    <t>一般醫學科</t>
    <phoneticPr fontId="5" type="noConversion"/>
  </si>
  <si>
    <t>神經科</t>
  </si>
  <si>
    <t>延PGY1-林蓁芸</t>
    <phoneticPr fontId="7" type="noConversion"/>
  </si>
  <si>
    <t>延PGY1-楊祚昇</t>
    <phoneticPr fontId="7" type="noConversion"/>
  </si>
  <si>
    <t>延PGY1-黃孟捷</t>
    <phoneticPr fontId="7" type="noConversion"/>
  </si>
  <si>
    <t>延PGY1-林培育</t>
    <phoneticPr fontId="7" type="noConversion"/>
  </si>
  <si>
    <t>PGY1-楊書維</t>
    <phoneticPr fontId="7" type="noConversion"/>
  </si>
  <si>
    <t>忠孝</t>
    <phoneticPr fontId="5" type="noConversion"/>
  </si>
  <si>
    <t>PGY1-張瓊心</t>
    <phoneticPr fontId="7" type="noConversion"/>
  </si>
  <si>
    <t>PGY1-詹翊筠</t>
    <phoneticPr fontId="7" type="noConversion"/>
  </si>
  <si>
    <t>PGY1-王暐翔</t>
    <phoneticPr fontId="7" type="noConversion"/>
  </si>
  <si>
    <t>PGY1-黃璽宇</t>
    <phoneticPr fontId="7" type="noConversion"/>
  </si>
  <si>
    <t>PGY1-黃雅信</t>
    <phoneticPr fontId="7" type="noConversion"/>
  </si>
  <si>
    <t>PGY1-陳昀陞</t>
    <phoneticPr fontId="7" type="noConversion"/>
  </si>
  <si>
    <t>PGY1-林展屹</t>
    <phoneticPr fontId="7" type="noConversion"/>
  </si>
  <si>
    <t>選-PGY2-林紘睿</t>
    <phoneticPr fontId="7" type="noConversion"/>
  </si>
  <si>
    <t>PGY1-石嘉憲</t>
    <phoneticPr fontId="7" type="noConversion"/>
  </si>
  <si>
    <t>PGY1-吳洛昀</t>
    <phoneticPr fontId="7" type="noConversion"/>
  </si>
  <si>
    <t>PGY1-陳正倫</t>
    <phoneticPr fontId="7" type="noConversion"/>
  </si>
  <si>
    <t>PGY1-吳灃晉</t>
    <phoneticPr fontId="7" type="noConversion"/>
  </si>
  <si>
    <t>選-PGY2-謝皓穎</t>
    <phoneticPr fontId="5" type="noConversion"/>
  </si>
  <si>
    <t>PGY1-程敬淇</t>
    <phoneticPr fontId="7" type="noConversion"/>
  </si>
  <si>
    <t>PGY1-張保羅</t>
    <phoneticPr fontId="7" type="noConversion"/>
  </si>
  <si>
    <t>PGY1-李國瑋</t>
    <phoneticPr fontId="7" type="noConversion"/>
  </si>
  <si>
    <t>PGY1-鍾冠恩</t>
    <phoneticPr fontId="5" type="noConversion"/>
  </si>
  <si>
    <t>PGY1-盧昱辰</t>
    <phoneticPr fontId="7" type="noConversion"/>
  </si>
  <si>
    <t>PGY1-謝依庭</t>
    <phoneticPr fontId="7" type="noConversion"/>
  </si>
  <si>
    <t>PGY1-吳孟耘</t>
    <phoneticPr fontId="7" type="noConversion"/>
  </si>
  <si>
    <t>PGY1-鍾冠恩</t>
    <phoneticPr fontId="7" type="noConversion"/>
  </si>
  <si>
    <t>選-PGY2-林俊毓</t>
    <phoneticPr fontId="5" type="noConversion"/>
  </si>
  <si>
    <t>PGY1-陳浩鋆</t>
    <phoneticPr fontId="7" type="noConversion"/>
  </si>
  <si>
    <t>PGY1-許博愷</t>
    <phoneticPr fontId="7" type="noConversion"/>
  </si>
  <si>
    <t>PGY1-李怡蒨</t>
    <phoneticPr fontId="7" type="noConversion"/>
  </si>
  <si>
    <t>PGY1-張斯喬</t>
    <phoneticPr fontId="7" type="noConversion"/>
  </si>
  <si>
    <t>PGY1-陳泰元</t>
    <phoneticPr fontId="7" type="noConversion"/>
  </si>
  <si>
    <t>PGY1-蕭又瑋</t>
    <phoneticPr fontId="7" type="noConversion"/>
  </si>
  <si>
    <t>PGY1-蔡裕禮</t>
    <phoneticPr fontId="7" type="noConversion"/>
  </si>
  <si>
    <t>PGY1-董冠慶</t>
    <phoneticPr fontId="7" type="noConversion"/>
  </si>
  <si>
    <t>PGY1-廖文豪</t>
    <phoneticPr fontId="7" type="noConversion"/>
  </si>
  <si>
    <t>PGY1-吳卉莉</t>
    <phoneticPr fontId="7" type="noConversion"/>
  </si>
  <si>
    <t>PGY1-林睿晨</t>
    <phoneticPr fontId="7" type="noConversion"/>
  </si>
  <si>
    <t>延-郭彥希-11602結訓</t>
    <phoneticPr fontId="5" type="noConversion"/>
  </si>
  <si>
    <t>選-PGY2-張汝禎</t>
    <phoneticPr fontId="7" type="noConversion"/>
  </si>
  <si>
    <t>PGY1-黃鈺雯</t>
    <phoneticPr fontId="7" type="noConversion"/>
  </si>
  <si>
    <t>選-PGY2-林家助</t>
    <phoneticPr fontId="7" type="noConversion"/>
  </si>
  <si>
    <t>延PGY2-郭彥希</t>
    <phoneticPr fontId="7" type="noConversion"/>
  </si>
  <si>
    <t>選-PGY2-林蓁芸</t>
    <phoneticPr fontId="7" type="noConversion"/>
  </si>
  <si>
    <t>選-PGY2-郭王雨田</t>
    <phoneticPr fontId="7" type="noConversion"/>
  </si>
  <si>
    <t>選-PGY2-李宣諠</t>
    <phoneticPr fontId="7" type="noConversion"/>
  </si>
  <si>
    <t>延PGY1-戴翊如</t>
    <phoneticPr fontId="7" type="noConversion"/>
  </si>
  <si>
    <t>選-PGY2-何權</t>
    <phoneticPr fontId="7" type="noConversion"/>
  </si>
  <si>
    <t>PGY2-林蓁芸</t>
    <phoneticPr fontId="7" type="noConversion"/>
  </si>
  <si>
    <t>PGY2-楊萬暄</t>
    <phoneticPr fontId="7" type="noConversion"/>
  </si>
  <si>
    <t>PGY2-謝昇峰</t>
    <phoneticPr fontId="7" type="noConversion"/>
  </si>
  <si>
    <t>PGY2-黃孟捷</t>
    <phoneticPr fontId="7" type="noConversion"/>
  </si>
  <si>
    <t>PGY2-呂宗倫</t>
    <phoneticPr fontId="7" type="noConversion"/>
  </si>
  <si>
    <t>PGY2-戴翊如</t>
    <phoneticPr fontId="7" type="noConversion"/>
  </si>
  <si>
    <t>PGY2-徐林陞</t>
    <phoneticPr fontId="7" type="noConversion"/>
  </si>
  <si>
    <t>延PGY1-林威宏</t>
    <phoneticPr fontId="7" type="noConversion"/>
  </si>
  <si>
    <t>延PGY2-毛振傑</t>
    <phoneticPr fontId="7" type="noConversion"/>
  </si>
  <si>
    <t>延PGY1-楊萬暄</t>
    <phoneticPr fontId="7" type="noConversion"/>
  </si>
  <si>
    <t>延PGY2-古子明</t>
    <phoneticPr fontId="7" type="noConversion"/>
  </si>
  <si>
    <t>延PGY2-郭彥希</t>
    <phoneticPr fontId="5" type="noConversion"/>
  </si>
  <si>
    <t>延PGY2-陳玉霖</t>
    <phoneticPr fontId="7" type="noConversion"/>
  </si>
  <si>
    <t>延PGY2-蔡侑辰</t>
    <phoneticPr fontId="7" type="noConversion"/>
  </si>
  <si>
    <t>延PGY2-孫印亭</t>
    <phoneticPr fontId="7" type="noConversion"/>
  </si>
  <si>
    <t>林家助</t>
    <phoneticPr fontId="5" type="noConversion"/>
  </si>
  <si>
    <t>116/07</t>
    <phoneticPr fontId="7" type="noConversion"/>
  </si>
  <si>
    <t>116/06</t>
    <phoneticPr fontId="7" type="noConversion"/>
  </si>
  <si>
    <t>116/05</t>
    <phoneticPr fontId="7" type="noConversion"/>
  </si>
  <si>
    <t>116/04</t>
    <phoneticPr fontId="7" type="noConversion"/>
  </si>
  <si>
    <t>116/03</t>
    <phoneticPr fontId="7" type="noConversion"/>
  </si>
  <si>
    <t>116/02</t>
    <phoneticPr fontId="7" type="noConversion"/>
  </si>
  <si>
    <t>116/01</t>
    <phoneticPr fontId="7" type="noConversion"/>
  </si>
  <si>
    <t>115/12</t>
    <phoneticPr fontId="7" type="noConversion"/>
  </si>
  <si>
    <t>115/11</t>
    <phoneticPr fontId="7" type="noConversion"/>
  </si>
  <si>
    <t>115/10</t>
    <phoneticPr fontId="7" type="noConversion"/>
  </si>
  <si>
    <t>115/09</t>
    <phoneticPr fontId="7" type="noConversion"/>
  </si>
  <si>
    <t>115/08</t>
    <phoneticPr fontId="7" type="noConversion"/>
  </si>
  <si>
    <t>選-PGY2-吳佳凌</t>
    <phoneticPr fontId="7" type="noConversion"/>
  </si>
  <si>
    <t>延PGY2-林培育</t>
    <phoneticPr fontId="7" type="noConversion"/>
  </si>
  <si>
    <t>PGY2-楊祚昇</t>
    <phoneticPr fontId="7" type="noConversion"/>
  </si>
  <si>
    <t>PGY2-郭王雨田</t>
    <phoneticPr fontId="7" type="noConversion"/>
  </si>
  <si>
    <t>選-PGY2-林靖瑄</t>
    <phoneticPr fontId="7" type="noConversion"/>
  </si>
  <si>
    <t>延PGY2-楊祚昇</t>
    <phoneticPr fontId="7" type="noConversion"/>
  </si>
  <si>
    <t>PGY2-張乃文</t>
    <phoneticPr fontId="7" type="noConversion"/>
  </si>
  <si>
    <t>選-PGY2-林芷筠</t>
  </si>
  <si>
    <t>PGY2-林紘睿</t>
    <phoneticPr fontId="7" type="noConversion"/>
  </si>
  <si>
    <t>PGY2-張庭恩</t>
    <phoneticPr fontId="7" type="noConversion"/>
  </si>
  <si>
    <t>PGY2-林培育</t>
    <phoneticPr fontId="7" type="noConversion"/>
  </si>
  <si>
    <t>PGY2-陳富宏</t>
    <phoneticPr fontId="7" type="noConversion"/>
  </si>
  <si>
    <t>選-延PGY2-林威宏</t>
    <phoneticPr fontId="7" type="noConversion"/>
  </si>
  <si>
    <t>延PGY1-呂宗倫</t>
    <phoneticPr fontId="7" type="noConversion"/>
  </si>
  <si>
    <t>PGY2-李宣諠</t>
    <phoneticPr fontId="7" type="noConversion"/>
  </si>
  <si>
    <t>113延PGY2-毛振傑</t>
    <phoneticPr fontId="7" type="noConversion"/>
  </si>
  <si>
    <t>113延PGY2-陳柏睿</t>
    <phoneticPr fontId="7" type="noConversion"/>
  </si>
  <si>
    <t>PGY2-謝皓穎</t>
    <phoneticPr fontId="7" type="noConversion"/>
  </si>
  <si>
    <t>PGY2-林家助</t>
    <phoneticPr fontId="5" type="noConversion"/>
  </si>
  <si>
    <t>PGY2-徐睿</t>
    <phoneticPr fontId="7" type="noConversion"/>
  </si>
  <si>
    <t>113延PGY2-蔡侑辰</t>
    <phoneticPr fontId="7" type="noConversion"/>
  </si>
  <si>
    <t>選-PGY2-陶孟昀</t>
    <phoneticPr fontId="7" type="noConversion"/>
  </si>
  <si>
    <t>113延PGY2-羅義為</t>
    <phoneticPr fontId="7" type="noConversion"/>
  </si>
  <si>
    <t>PGY2-沈韋齡</t>
    <phoneticPr fontId="7" type="noConversion"/>
  </si>
  <si>
    <t>PGY2-張汝禎</t>
    <phoneticPr fontId="7" type="noConversion"/>
  </si>
  <si>
    <t>選-113延PGY2-陳柏睿</t>
    <phoneticPr fontId="7" type="noConversion"/>
  </si>
  <si>
    <t>PGY2-林靖瑄</t>
    <phoneticPr fontId="7" type="noConversion"/>
  </si>
  <si>
    <t>PGY2-張晏植</t>
    <phoneticPr fontId="7" type="noConversion"/>
  </si>
  <si>
    <t>延PGY1-謝昇峰</t>
    <phoneticPr fontId="7" type="noConversion"/>
  </si>
  <si>
    <t>PGY2-吳佳凌</t>
    <phoneticPr fontId="7" type="noConversion"/>
  </si>
  <si>
    <t>選-PGY1-鍾冠恩</t>
    <phoneticPr fontId="7" type="noConversion"/>
  </si>
  <si>
    <t>選-PGY2-林芷筠</t>
    <phoneticPr fontId="7" type="noConversion"/>
  </si>
  <si>
    <t>選-PGY1-吳孟耘</t>
    <phoneticPr fontId="7" type="noConversion"/>
  </si>
  <si>
    <t>113延PGY2-吳家德</t>
    <phoneticPr fontId="7" type="noConversion"/>
  </si>
  <si>
    <t>延PGY2-楊承晧</t>
    <phoneticPr fontId="7" type="noConversion"/>
  </si>
  <si>
    <t>連立明</t>
    <phoneticPr fontId="5" type="noConversion"/>
  </si>
  <si>
    <t>鍾冠恩</t>
    <phoneticPr fontId="5" type="noConversion"/>
  </si>
  <si>
    <t>延PGY2-呂宗倫</t>
    <phoneticPr fontId="7" type="noConversion"/>
  </si>
  <si>
    <t>選-PGY2-陳申霖</t>
    <phoneticPr fontId="7" type="noConversion"/>
  </si>
  <si>
    <t>選-PGY2-陳富宏</t>
    <phoneticPr fontId="7" type="noConversion"/>
  </si>
  <si>
    <t>選-延PGY1-呂宗倫</t>
    <phoneticPr fontId="7" type="noConversion"/>
  </si>
  <si>
    <t>選-PGY2-張晏植</t>
    <phoneticPr fontId="7" type="noConversion"/>
  </si>
  <si>
    <t>選-PGY1-李怡蒨</t>
    <phoneticPr fontId="7" type="noConversion"/>
  </si>
  <si>
    <t>選-延PGY1-林培育</t>
    <phoneticPr fontId="7" type="noConversion"/>
  </si>
  <si>
    <t>113延PGY2-古子明</t>
    <phoneticPr fontId="7" type="noConversion"/>
  </si>
  <si>
    <t>選-PGY2-徐睿</t>
    <phoneticPr fontId="7" type="noConversion"/>
  </si>
  <si>
    <t>選-PGY1-林睿晨</t>
    <phoneticPr fontId="7" type="noConversion"/>
  </si>
  <si>
    <t>選-延PGY1-林威宏</t>
    <phoneticPr fontId="7" type="noConversion"/>
  </si>
  <si>
    <t>許浩為</t>
    <phoneticPr fontId="7" type="noConversion"/>
  </si>
  <si>
    <t>選-PGY1-楊書維</t>
    <phoneticPr fontId="7" type="noConversion"/>
  </si>
  <si>
    <t>選-PGY1-張保羅</t>
    <phoneticPr fontId="7" type="noConversion"/>
  </si>
  <si>
    <t>選-PGY1-鍾冠恩</t>
    <phoneticPr fontId="5" type="noConversion"/>
  </si>
  <si>
    <t>選-PGY1-程敬淇</t>
    <phoneticPr fontId="5" type="noConversion"/>
  </si>
  <si>
    <t>選-PGY1-黃御鵬</t>
    <phoneticPr fontId="7" type="noConversion"/>
  </si>
  <si>
    <t>鄭以弘</t>
    <phoneticPr fontId="7" type="noConversion"/>
  </si>
  <si>
    <t>蔡德甫</t>
    <phoneticPr fontId="7" type="noConversion"/>
  </si>
  <si>
    <t>張汝禎</t>
    <phoneticPr fontId="5" type="noConversion"/>
  </si>
  <si>
    <t>PGY2-張汝禎</t>
    <phoneticPr fontId="5" type="noConversion"/>
  </si>
  <si>
    <t>PGY1-張庭恩</t>
    <phoneticPr fontId="7" type="noConversion"/>
  </si>
  <si>
    <t>113延PGY2-孫印亭</t>
    <phoneticPr fontId="7" type="noConversion"/>
  </si>
  <si>
    <t>112延PGY2-陳玉霖</t>
    <phoneticPr fontId="7" type="noConversion"/>
  </si>
  <si>
    <t>PGY1-詹翊筠</t>
    <phoneticPr fontId="5" type="noConversion"/>
  </si>
  <si>
    <t>PGY2柯芊劭</t>
    <phoneticPr fontId="7" type="noConversion"/>
  </si>
  <si>
    <t>PGY2徐林陞</t>
    <phoneticPr fontId="7" type="noConversion"/>
  </si>
  <si>
    <t>代-PGY2-王亭絜</t>
    <phoneticPr fontId="7" type="noConversion"/>
  </si>
  <si>
    <t>代-PGY2-王子維</t>
    <phoneticPr fontId="7" type="noConversion"/>
  </si>
  <si>
    <t>代-PGY2-陳信凱</t>
    <phoneticPr fontId="7" type="noConversion"/>
  </si>
  <si>
    <t>林靖瑄</t>
    <phoneticPr fontId="5" type="noConversion"/>
  </si>
  <si>
    <t>113延PGY2-郭彥希</t>
    <phoneticPr fontId="7" type="noConversion"/>
  </si>
  <si>
    <t>PGY1-王柏心</t>
    <phoneticPr fontId="5" type="noConversion"/>
  </si>
  <si>
    <t>PGY2-林靖瑄</t>
    <phoneticPr fontId="5" type="noConversion"/>
  </si>
  <si>
    <t>113延PGY2蔡侑辰</t>
    <phoneticPr fontId="7" type="noConversion"/>
  </si>
  <si>
    <t>婦產科選修</t>
    <phoneticPr fontId="7" type="noConversion"/>
  </si>
  <si>
    <t>PGY2-程敬淇</t>
    <phoneticPr fontId="5" type="noConversion"/>
  </si>
  <si>
    <t>113延PGY2-羅義為</t>
    <phoneticPr fontId="5" type="noConversion"/>
  </si>
  <si>
    <t>113延PGY2-蔡侑辰</t>
    <phoneticPr fontId="5" type="noConversion"/>
  </si>
  <si>
    <t>113延PGY2-楊承晧</t>
    <phoneticPr fontId="5" type="noConversion"/>
  </si>
  <si>
    <t>113延PGY2-毛振傑</t>
    <phoneticPr fontId="5" type="noConversion"/>
  </si>
  <si>
    <t>PGY1-張保羅</t>
    <phoneticPr fontId="5" type="noConversion"/>
  </si>
  <si>
    <t>PGY1-黃御鵬</t>
    <phoneticPr fontId="5" type="noConversion"/>
  </si>
  <si>
    <t>PGY1-楊書維</t>
    <phoneticPr fontId="5" type="noConversion"/>
  </si>
  <si>
    <t>PGY1-林睿晨</t>
    <phoneticPr fontId="5" type="noConversion"/>
  </si>
  <si>
    <t>PGY1-程敬淇</t>
    <phoneticPr fontId="5" type="noConversion"/>
  </si>
  <si>
    <t>PGY1-石嘉憲</t>
    <phoneticPr fontId="5" type="noConversion"/>
  </si>
  <si>
    <t>A6513@tpech.gov.tw</t>
    <phoneticPr fontId="7" type="noConversion"/>
  </si>
  <si>
    <t>yj0913@cgmh.org.tw</t>
    <phoneticPr fontId="7" type="noConversion"/>
  </si>
  <si>
    <t>AP0828@ntpc.gov.tw</t>
    <phoneticPr fontId="7" type="noConversion"/>
  </si>
  <si>
    <t>02-2982-9111#3302</t>
    <phoneticPr fontId="7" type="noConversion"/>
  </si>
  <si>
    <t>郭沛涵</t>
    <phoneticPr fontId="7" type="noConversion"/>
  </si>
  <si>
    <t>廖文豪</t>
    <phoneticPr fontId="5" type="noConversion"/>
  </si>
  <si>
    <t>各醫療科助理及8月總醫師聯繫方式</t>
    <phoneticPr fontId="7" type="noConversion"/>
  </si>
  <si>
    <t>8月負責醫師</t>
    <phoneticPr fontId="7" type="noConversion"/>
  </si>
  <si>
    <t>備註</t>
    <phoneticPr fontId="7" type="noConversion"/>
  </si>
  <si>
    <t>0984-160-616</t>
    <phoneticPr fontId="7" type="noConversion"/>
  </si>
  <si>
    <t>CR陳奕孝、田佳翰
115/8/17起：
CR鄭李承峯、蔡裕曜</t>
    <phoneticPr fontId="7" type="noConversion"/>
  </si>
  <si>
    <t>陳奕孝0984-160-802
田佳翰0984-162-238
鄭李承峯0984-160-748
蔡裕曜0984-166-745</t>
    <phoneticPr fontId="7" type="noConversion"/>
  </si>
  <si>
    <t>陳奕孝850802
田佳翰852238
鄭李承峯850748
蔡裕曜856745</t>
    <phoneticPr fontId="7" type="noConversion"/>
  </si>
  <si>
    <r>
      <t>※大內科受訓統一由</t>
    </r>
    <r>
      <rPr>
        <b/>
        <sz val="12"/>
        <rFont val="微軟正黑體"/>
        <family val="2"/>
        <charset val="136"/>
      </rPr>
      <t>內科部CR排班</t>
    </r>
    <r>
      <rPr>
        <sz val="12"/>
        <rFont val="微軟正黑體"/>
        <family val="2"/>
        <charset val="136"/>
      </rPr>
      <t xml:space="preserve">
</t>
    </r>
    <r>
      <rPr>
        <b/>
        <sz val="12"/>
        <rFont val="微軟正黑體"/>
        <family val="2"/>
        <charset val="136"/>
      </rPr>
      <t>※2026.08預班連結：https://forms.gle/3LtCTC77uMnGeV7u7</t>
    </r>
    <r>
      <rPr>
        <sz val="12"/>
        <rFont val="微軟正黑體"/>
        <family val="2"/>
        <charset val="136"/>
      </rPr>
      <t xml:space="preserve">
※胃腸科預休假請同步告知</t>
    </r>
    <r>
      <rPr>
        <b/>
        <sz val="12"/>
        <color rgb="FF0000FF"/>
        <rFont val="微軟正黑體"/>
        <family val="2"/>
        <charset val="136"/>
      </rPr>
      <t>孫灼基主任0984-160-251(簡碼850506)</t>
    </r>
    <r>
      <rPr>
        <sz val="12"/>
        <rFont val="微軟正黑體"/>
        <family val="2"/>
        <charset val="136"/>
      </rPr>
      <t xml:space="preserve">
※心臟內科預休假請同步告知</t>
    </r>
    <r>
      <rPr>
        <b/>
        <sz val="12"/>
        <color rgb="FF0000FF"/>
        <rFont val="微軟正黑體"/>
        <family val="2"/>
        <charset val="136"/>
      </rPr>
      <t>田佳翰0984-162-238(簡碼852238)</t>
    </r>
    <r>
      <rPr>
        <sz val="12"/>
        <color rgb="FFFF0000"/>
        <rFont val="微軟正黑體"/>
        <family val="2"/>
        <charset val="136"/>
      </rPr>
      <t xml:space="preserve">
</t>
    </r>
    <r>
      <rPr>
        <sz val="12"/>
        <rFont val="微軟正黑體"/>
        <family val="2"/>
        <charset val="136"/>
      </rPr>
      <t>※血液腫瘤科預休假請同步告知</t>
    </r>
    <r>
      <rPr>
        <b/>
        <sz val="12"/>
        <color rgb="FF0000FF"/>
        <rFont val="微軟正黑體"/>
        <family val="2"/>
        <charset val="136"/>
      </rPr>
      <t>NP陳佳琪0984-167-640(簡碼817640)或NP黃悅敏0984-161-956(簡碼811956)</t>
    </r>
    <r>
      <rPr>
        <sz val="12"/>
        <rFont val="微軟正黑體"/>
        <family val="2"/>
        <charset val="136"/>
      </rPr>
      <t xml:space="preserve">
※胸腔內科預休假請同步告知</t>
    </r>
    <r>
      <rPr>
        <b/>
        <sz val="12"/>
        <color rgb="FF0000FF"/>
        <rFont val="微軟正黑體"/>
        <family val="2"/>
        <charset val="136"/>
      </rPr>
      <t>CR陳美伃醫師0984-161-521(簡碼851521)</t>
    </r>
    <r>
      <rPr>
        <sz val="12"/>
        <rFont val="微軟正黑體"/>
        <family val="2"/>
        <charset val="136"/>
      </rPr>
      <t xml:space="preserve">
※腎臟科預休假請同步告知</t>
    </r>
    <r>
      <rPr>
        <b/>
        <sz val="12"/>
        <color rgb="FF0000FF"/>
        <rFont val="微軟正黑體"/>
        <family val="2"/>
        <charset val="136"/>
      </rPr>
      <t>莊育綸醫師0984-164-286(簡碼852134)</t>
    </r>
    <r>
      <rPr>
        <sz val="12"/>
        <rFont val="微軟正黑體"/>
        <family val="2"/>
        <charset val="136"/>
      </rPr>
      <t xml:space="preserve">
※一般醫學科預休假請同步告知</t>
    </r>
    <r>
      <rPr>
        <b/>
        <sz val="12"/>
        <color rgb="FF0000FF"/>
        <rFont val="微軟正黑體"/>
        <family val="2"/>
        <charset val="136"/>
      </rPr>
      <t>NP林若彤0984-161-261(簡碼811261)</t>
    </r>
    <r>
      <rPr>
        <sz val="12"/>
        <rFont val="微軟正黑體"/>
        <family val="2"/>
        <charset val="136"/>
      </rPr>
      <t xml:space="preserve">
※感染科預休假請同步告知</t>
    </r>
    <r>
      <rPr>
        <b/>
        <sz val="12"/>
        <color rgb="FF0000FF"/>
        <rFont val="微軟正黑體"/>
        <family val="2"/>
        <charset val="136"/>
      </rPr>
      <t>NP邱靜誼0984-160-352(簡碼810352)或NP侯思吟0984-160-813(簡碼810813)</t>
    </r>
    <phoneticPr fontId="7" type="noConversion"/>
  </si>
  <si>
    <t>0984-160-651</t>
    <phoneticPr fontId="7" type="noConversion"/>
  </si>
  <si>
    <t>0984-160-652</t>
    <phoneticPr fontId="7" type="noConversion"/>
  </si>
  <si>
    <t>林欣玲</t>
  </si>
  <si>
    <t>0984-160-657</t>
    <phoneticPr fontId="7" type="noConversion"/>
  </si>
  <si>
    <t>0984-160-185</t>
    <phoneticPr fontId="7" type="noConversion"/>
  </si>
  <si>
    <t>0984-161-977</t>
    <phoneticPr fontId="7" type="noConversion"/>
  </si>
  <si>
    <t>0984-160-617</t>
  </si>
  <si>
    <t>一般外科CR陳孟淳</t>
    <phoneticPr fontId="7" type="noConversion"/>
  </si>
  <si>
    <t>0984-162-239</t>
    <phoneticPr fontId="7" type="noConversion"/>
  </si>
  <si>
    <r>
      <t>※一般外、小兒外統一由</t>
    </r>
    <r>
      <rPr>
        <b/>
        <sz val="12"/>
        <color theme="1"/>
        <rFont val="微軟正黑體"/>
        <family val="2"/>
        <charset val="136"/>
      </rPr>
      <t>一般外科CR排班</t>
    </r>
    <r>
      <rPr>
        <sz val="12"/>
        <color theme="1"/>
        <rFont val="微軟正黑體"/>
        <family val="2"/>
        <charset val="136"/>
      </rPr>
      <t xml:space="preserve">
※小兒外科預休假請同步告知</t>
    </r>
    <r>
      <rPr>
        <b/>
        <sz val="12"/>
        <color rgb="FF0000FF"/>
        <rFont val="微軟正黑體"/>
        <family val="2"/>
        <charset val="136"/>
      </rPr>
      <t>張繼仁主任(簡碼851074)</t>
    </r>
    <phoneticPr fontId="7" type="noConversion"/>
  </si>
  <si>
    <t>0984-160-545</t>
    <phoneticPr fontId="7" type="noConversion"/>
  </si>
  <si>
    <t>0984-160-613</t>
  </si>
  <si>
    <t>整外CR黃正豪</t>
    <phoneticPr fontId="7" type="noConversion"/>
  </si>
  <si>
    <t>0984-164-085</t>
    <phoneticPr fontId="7" type="noConversion"/>
  </si>
  <si>
    <r>
      <t>※心外、整外統一由</t>
    </r>
    <r>
      <rPr>
        <b/>
        <sz val="12"/>
        <color theme="1"/>
        <rFont val="微軟正黑體"/>
        <family val="2"/>
        <charset val="136"/>
      </rPr>
      <t>整外CR排班</t>
    </r>
    <r>
      <rPr>
        <sz val="12"/>
        <color theme="1"/>
        <rFont val="微軟正黑體"/>
        <family val="2"/>
        <charset val="136"/>
      </rPr>
      <t xml:space="preserve">
※心外預休假請同步告知</t>
    </r>
    <r>
      <rPr>
        <b/>
        <sz val="12"/>
        <color rgb="FF0000FF"/>
        <rFont val="微軟正黑體"/>
        <family val="2"/>
        <charset val="136"/>
      </rPr>
      <t>顏羽彤醫師0984-160-285(簡碼851551)</t>
    </r>
    <phoneticPr fontId="7" type="noConversion"/>
  </si>
  <si>
    <t>泌尿科CR陳品均</t>
    <phoneticPr fontId="7" type="noConversion"/>
  </si>
  <si>
    <t>0984-161-771</t>
    <phoneticPr fontId="7" type="noConversion"/>
  </si>
  <si>
    <r>
      <t>※胸外、泌尿、神外統一由</t>
    </r>
    <r>
      <rPr>
        <b/>
        <sz val="12"/>
        <rFont val="微軟正黑體"/>
        <family val="2"/>
        <charset val="136"/>
      </rPr>
      <t>泌尿科CR排班</t>
    </r>
    <r>
      <rPr>
        <sz val="12"/>
        <rFont val="微軟正黑體"/>
        <family val="2"/>
        <charset val="136"/>
      </rPr>
      <t xml:space="preserve">
※胸外預休假請同步告知</t>
    </r>
    <r>
      <rPr>
        <b/>
        <sz val="12"/>
        <color rgb="FF0000FF"/>
        <rFont val="微軟正黑體"/>
        <family val="2"/>
        <charset val="136"/>
      </rPr>
      <t>NP林良砡0984-160-402(簡碼810402)</t>
    </r>
    <r>
      <rPr>
        <sz val="12"/>
        <rFont val="微軟正黑體"/>
        <family val="2"/>
        <charset val="136"/>
      </rPr>
      <t xml:space="preserve">
※神外預休假請同步告知</t>
    </r>
    <r>
      <rPr>
        <b/>
        <sz val="12"/>
        <color rgb="FF0000FF"/>
        <rFont val="微軟正黑體"/>
        <family val="2"/>
        <charset val="136"/>
      </rPr>
      <t>林子傑醫師0984-169-945(簡碼852045)</t>
    </r>
    <phoneticPr fontId="7" type="noConversion"/>
  </si>
  <si>
    <t>陳姿蒨</t>
  </si>
  <si>
    <t>0984-160-655</t>
    <phoneticPr fontId="7" type="noConversion"/>
  </si>
  <si>
    <t>0984-160-650</t>
    <phoneticPr fontId="7" type="noConversion"/>
  </si>
  <si>
    <t>CR祁慕杰</t>
    <phoneticPr fontId="7" type="noConversion"/>
  </si>
  <si>
    <t>0984-163-331</t>
    <phoneticPr fontId="7" type="noConversion"/>
  </si>
  <si>
    <t>0984-160-611</t>
  </si>
  <si>
    <t>8月-CR林萱萱</t>
    <phoneticPr fontId="7" type="noConversion"/>
  </si>
  <si>
    <t>0984-167-611</t>
    <phoneticPr fontId="7" type="noConversion"/>
  </si>
  <si>
    <t>0984-160-612</t>
    <phoneticPr fontId="7" type="noConversion"/>
  </si>
  <si>
    <t>8月-CR許家銘</t>
    <phoneticPr fontId="7" type="noConversion"/>
  </si>
  <si>
    <t>0984-160-363</t>
    <phoneticPr fontId="7" type="noConversion"/>
  </si>
  <si>
    <t>0984-160-169</t>
  </si>
  <si>
    <t>-</t>
    <phoneticPr fontId="7" type="noConversion"/>
  </si>
  <si>
    <t>將於月初建立line群組進行預班</t>
    <phoneticPr fontId="7" type="noConversion"/>
  </si>
  <si>
    <t>0984-160-238</t>
    <phoneticPr fontId="7" type="noConversion"/>
  </si>
  <si>
    <t>CR施景獻
CR莊　寧</t>
    <phoneticPr fontId="7" type="noConversion"/>
  </si>
  <si>
    <t>施景獻0984-167-045
莊　寧0984-162-511</t>
    <phoneticPr fontId="7" type="noConversion"/>
  </si>
  <si>
    <t>施景獻857045
莊　寧852511</t>
    <phoneticPr fontId="7" type="noConversion"/>
  </si>
  <si>
    <r>
      <t>※神經科、老醫科統一由</t>
    </r>
    <r>
      <rPr>
        <b/>
        <sz val="12"/>
        <rFont val="微軟正黑體"/>
        <family val="2"/>
        <charset val="136"/>
      </rPr>
      <t>神經科CR排班</t>
    </r>
    <r>
      <rPr>
        <sz val="12"/>
        <rFont val="微軟正黑體"/>
        <family val="2"/>
        <charset val="136"/>
      </rPr>
      <t xml:space="preserve">
※老醫預休假請先詢問</t>
    </r>
    <r>
      <rPr>
        <b/>
        <sz val="12"/>
        <color rgb="FF0000FF"/>
        <rFont val="微軟正黑體"/>
        <family val="2"/>
        <charset val="136"/>
      </rPr>
      <t>林威佑醫師(簡碼851880)</t>
    </r>
    <phoneticPr fontId="7" type="noConversion"/>
  </si>
  <si>
    <t>老年醫學科</t>
    <phoneticPr fontId="7" type="noConversion"/>
  </si>
  <si>
    <t>0984-160-656</t>
    <phoneticPr fontId="7" type="noConversion"/>
  </si>
  <si>
    <t>CR張雅婷</t>
    <phoneticPr fontId="7" type="noConversion"/>
  </si>
  <si>
    <t>0984-166-958</t>
    <phoneticPr fontId="7" type="noConversion"/>
  </si>
  <si>
    <t>0984-160-986</t>
    <phoneticPr fontId="7" type="noConversion"/>
  </si>
  <si>
    <t>VS蘇奕鴒</t>
    <phoneticPr fontId="7" type="noConversion"/>
  </si>
  <si>
    <t>0984-160-648</t>
    <phoneticPr fontId="7" type="noConversion"/>
  </si>
  <si>
    <t>0984-161-080</t>
  </si>
  <si>
    <t>CR杜芸萱</t>
    <phoneticPr fontId="7" type="noConversion"/>
  </si>
  <si>
    <t>0984-160-676</t>
    <phoneticPr fontId="7" type="noConversion"/>
  </si>
  <si>
    <t>0984-161-287</t>
  </si>
  <si>
    <t>VS季懋欣</t>
    <phoneticPr fontId="7" type="noConversion"/>
  </si>
  <si>
    <t>0984-160-186</t>
    <phoneticPr fontId="7" type="noConversion"/>
  </si>
  <si>
    <t>0984-160-618</t>
  </si>
  <si>
    <t>CR楊宗翰</t>
    <phoneticPr fontId="7" type="noConversion"/>
  </si>
  <si>
    <t>0984-162-329</t>
    <phoneticPr fontId="7" type="noConversion"/>
  </si>
  <si>
    <t>0984-161-188</t>
  </si>
  <si>
    <t>張純蓮助理</t>
    <phoneticPr fontId="7" type="noConversion"/>
  </si>
  <si>
    <t>0984-161-188</t>
    <phoneticPr fontId="7" type="noConversion"/>
  </si>
  <si>
    <r>
      <t>病理檢驗科預班請聯繫</t>
    </r>
    <r>
      <rPr>
        <b/>
        <sz val="12"/>
        <color rgb="FF0000FF"/>
        <rFont val="微軟正黑體"/>
        <family val="2"/>
        <charset val="136"/>
      </rPr>
      <t>張純蓮助理</t>
    </r>
    <phoneticPr fontId="7" type="noConversion"/>
  </si>
  <si>
    <t>陳淑娟</t>
  </si>
  <si>
    <t>0984-161-215</t>
    <phoneticPr fontId="7" type="noConversion"/>
  </si>
  <si>
    <t>CR陳彥宇</t>
    <phoneticPr fontId="7" type="noConversion"/>
  </si>
  <si>
    <t>0984-167-655</t>
    <phoneticPr fontId="7" type="noConversion"/>
  </si>
  <si>
    <t>CR徐淳嘉</t>
    <phoneticPr fontId="7" type="noConversion"/>
  </si>
  <si>
    <t>0984-162-159</t>
    <phoneticPr fontId="7" type="noConversion"/>
  </si>
  <si>
    <t>0984-161-961</t>
    <phoneticPr fontId="7" type="noConversion"/>
  </si>
  <si>
    <t>CR呂紹安</t>
    <phoneticPr fontId="7" type="noConversion"/>
  </si>
  <si>
    <t>0984-167-650</t>
    <phoneticPr fontId="7" type="noConversion"/>
  </si>
  <si>
    <t>VS溫文馨</t>
    <phoneticPr fontId="7" type="noConversion"/>
  </si>
  <si>
    <t>0984-160-936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</si>
</sst>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&quot;月&quot;d&quot;日&quot;"/>
  </numFmts>
  <fonts count="36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4"/>
      <name val="微軟正黑體"/>
      <family val="2"/>
      <charset val="136"/>
    </font>
    <font>
      <sz val="9"/>
      <name val="新細明體"/>
      <family val="2"/>
      <charset val="136"/>
      <scheme val="minor"/>
    </font>
    <font>
      <strike/>
      <sz val="14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2"/>
      <name val="新細明體"/>
      <family val="2"/>
      <charset val="136"/>
      <scheme val="minor"/>
    </font>
    <font>
      <sz val="14"/>
      <color rgb="FF000000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0"/>
      <name val="Arial"/>
      <family val="2"/>
    </font>
    <font>
      <sz val="12"/>
      <name val="微軟正黑體"/>
      <family val="2"/>
      <charset val="136"/>
    </font>
    <font>
      <sz val="9"/>
      <name val="細明體"/>
      <family val="3"/>
      <charset val="136"/>
    </font>
    <font>
      <sz val="12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9"/>
      <name val="新細明體"/>
      <family val="1"/>
      <charset val="136"/>
      <scheme val="minor"/>
    </font>
    <font>
      <b/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strike/>
      <sz val="12"/>
      <color rgb="FFFF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theme="1"/>
      <name val="標楷體"/>
      <family val="4"/>
      <charset val="136"/>
    </font>
    <font>
      <sz val="11"/>
      <color theme="1"/>
      <name val="微軟正黑體"/>
      <family val="2"/>
      <charset val="136"/>
    </font>
    <font>
      <sz val="12"/>
      <color theme="1"/>
      <name val="Times New Roman"/>
      <family val="1"/>
    </font>
    <font>
      <u/>
      <sz val="12"/>
      <color theme="10"/>
      <name val="新細明體"/>
      <family val="1"/>
      <charset val="136"/>
    </font>
    <font>
      <strike/>
      <sz val="14"/>
      <color rgb="FFFF0000"/>
      <name val="微軟正黑體"/>
      <family val="2"/>
      <charset val="136"/>
    </font>
    <font>
      <strike/>
      <sz val="14"/>
      <name val="微軟正黑體"/>
      <family val="2"/>
      <charset val="136"/>
    </font>
    <font>
      <sz val="14"/>
      <color indexed="8"/>
      <name val="微軟正黑體"/>
      <family val="2"/>
      <charset val="136"/>
    </font>
    <font>
      <sz val="16"/>
      <name val="微軟正黑體"/>
      <family val="2"/>
      <charset val="136"/>
    </font>
    <font>
      <sz val="12"/>
      <color rgb="FF000000"/>
      <name val="新細明體"/>
      <family val="1"/>
      <charset val="136"/>
      <scheme val="minor"/>
    </font>
    <font>
      <sz val="14"/>
      <color theme="1"/>
      <name val="Microsoft JhengHei"/>
      <family val="2"/>
      <charset val="136"/>
    </font>
    <font>
      <b/>
      <sz val="12"/>
      <name val="微軟正黑體"/>
      <family val="2"/>
      <charset val="136"/>
    </font>
    <font>
      <b/>
      <sz val="12"/>
      <color rgb="FF0000FF"/>
      <name val="微軟正黑體"/>
      <family val="2"/>
      <charset val="136"/>
    </font>
    <font>
      <sz val="11"/>
      <name val="微軟正黑體"/>
      <family val="2"/>
      <charset val="136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3FAF9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rgb="FFFF8080"/>
        <bgColor rgb="FFFF8080"/>
      </patternFill>
    </fill>
    <fill>
      <patternFill patternType="solid">
        <fgColor rgb="FF808080"/>
        <bgColor rgb="FF808080"/>
      </patternFill>
    </fill>
    <fill>
      <patternFill patternType="solid">
        <fgColor rgb="FF3FAF94"/>
        <bgColor rgb="FF3FAF94"/>
      </patternFill>
    </fill>
    <fill>
      <patternFill patternType="solid">
        <fgColor rgb="FFFFC000"/>
        <bgColor rgb="FFFFC000"/>
      </patternFill>
    </fill>
    <fill>
      <patternFill patternType="solid">
        <fgColor rgb="FFFFCC00"/>
        <bgColor rgb="FFFFCC00"/>
      </patternFill>
    </fill>
    <fill>
      <patternFill patternType="solid">
        <fgColor rgb="FFF8CBAD"/>
        <bgColor rgb="FFF8CBAD"/>
      </patternFill>
    </fill>
    <fill>
      <patternFill patternType="solid">
        <fgColor rgb="FF00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3" fillId="0" borderId="0"/>
    <xf numFmtId="0" fontId="13" fillId="0" borderId="0"/>
    <xf numFmtId="0" fontId="3" fillId="0" borderId="0">
      <alignment vertical="center"/>
    </xf>
    <xf numFmtId="0" fontId="26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1" fillId="0" borderId="0">
      <alignment vertical="center"/>
    </xf>
  </cellStyleXfs>
  <cellXfs count="925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4" fillId="19" borderId="4" xfId="0" applyFont="1" applyFill="1" applyBorder="1" applyAlignment="1">
      <alignment horizontal="center" vertical="center" wrapText="1"/>
    </xf>
    <xf numFmtId="0" fontId="4" fillId="19" borderId="4" xfId="0" applyFont="1" applyFill="1" applyBorder="1" applyAlignment="1">
      <alignment horizontal="center" vertical="center"/>
    </xf>
    <xf numFmtId="0" fontId="4" fillId="20" borderId="4" xfId="0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2" borderId="4" xfId="0" applyFont="1" applyFill="1" applyBorder="1" applyAlignment="1">
      <alignment horizontal="center" vertical="center" wrapText="1"/>
    </xf>
    <xf numFmtId="0" fontId="4" fillId="23" borderId="4" xfId="0" applyFont="1" applyFill="1" applyBorder="1" applyAlignment="1">
      <alignment horizontal="center" vertical="center"/>
    </xf>
    <xf numFmtId="0" fontId="4" fillId="24" borderId="4" xfId="0" applyFont="1" applyFill="1" applyBorder="1" applyAlignment="1">
      <alignment horizontal="center" vertical="center" wrapText="1"/>
    </xf>
    <xf numFmtId="0" fontId="4" fillId="25" borderId="4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49" fontId="4" fillId="0" borderId="0" xfId="0" applyNumberFormat="1" applyFont="1" applyFill="1" applyAlignment="1">
      <alignment horizontal="center" vertical="center"/>
    </xf>
    <xf numFmtId="0" fontId="4" fillId="26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/>
    </xf>
    <xf numFmtId="0" fontId="4" fillId="0" borderId="0" xfId="0" quotePrefix="1" applyFont="1" applyFill="1" applyAlignment="1">
      <alignment horizontal="center" vertical="center"/>
    </xf>
    <xf numFmtId="176" fontId="4" fillId="0" borderId="0" xfId="0" quotePrefix="1" applyNumberFormat="1" applyFont="1" applyFill="1" applyAlignment="1">
      <alignment horizontal="center" vertical="center"/>
    </xf>
    <xf numFmtId="176" fontId="4" fillId="0" borderId="0" xfId="0" quotePrefix="1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4" fillId="27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left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left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4" fillId="0" borderId="0" xfId="1" applyFont="1"/>
    <xf numFmtId="0" fontId="16" fillId="0" borderId="0" xfId="0" applyFont="1" applyAlignment="1"/>
    <xf numFmtId="0" fontId="14" fillId="0" borderId="0" xfId="2" applyFont="1"/>
    <xf numFmtId="0" fontId="14" fillId="0" borderId="0" xfId="0" applyFont="1" applyAlignment="1"/>
    <xf numFmtId="0" fontId="16" fillId="0" borderId="0" xfId="1" applyFont="1"/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6" fillId="28" borderId="1" xfId="0" applyFont="1" applyFill="1" applyBorder="1" applyAlignment="1">
      <alignment horizontal="center" vertical="center"/>
    </xf>
    <xf numFmtId="0" fontId="16" fillId="28" borderId="1" xfId="1" applyFont="1" applyFill="1" applyBorder="1" applyAlignment="1">
      <alignment horizontal="center"/>
    </xf>
    <xf numFmtId="0" fontId="16" fillId="28" borderId="1" xfId="0" applyFont="1" applyFill="1" applyBorder="1" applyAlignment="1">
      <alignment horizontal="left" vertical="center"/>
    </xf>
    <xf numFmtId="0" fontId="16" fillId="0" borderId="1" xfId="1" applyFont="1" applyBorder="1" applyAlignment="1">
      <alignment horizontal="center"/>
    </xf>
    <xf numFmtId="0" fontId="16" fillId="0" borderId="1" xfId="1" applyFont="1" applyBorder="1" applyAlignment="1">
      <alignment horizontal="left"/>
    </xf>
    <xf numFmtId="0" fontId="16" fillId="29" borderId="1" xfId="0" applyFont="1" applyFill="1" applyBorder="1" applyAlignment="1">
      <alignment horizontal="center" vertical="center"/>
    </xf>
    <xf numFmtId="0" fontId="16" fillId="29" borderId="1" xfId="0" applyFont="1" applyFill="1" applyBorder="1" applyAlignment="1">
      <alignment horizontal="center"/>
    </xf>
    <xf numFmtId="0" fontId="16" fillId="29" borderId="1" xfId="0" applyFont="1" applyFill="1" applyBorder="1" applyAlignment="1"/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/>
    <xf numFmtId="0" fontId="16" fillId="27" borderId="1" xfId="0" applyFont="1" applyFill="1" applyBorder="1" applyAlignment="1">
      <alignment horizontal="center" vertical="center"/>
    </xf>
    <xf numFmtId="0" fontId="16" fillId="27" borderId="1" xfId="0" applyFont="1" applyFill="1" applyBorder="1" applyAlignment="1">
      <alignment horizontal="left" vertical="center"/>
    </xf>
    <xf numFmtId="0" fontId="16" fillId="8" borderId="1" xfId="0" applyFont="1" applyFill="1" applyBorder="1" applyAlignment="1">
      <alignment horizontal="center" vertical="center"/>
    </xf>
    <xf numFmtId="0" fontId="16" fillId="8" borderId="1" xfId="1" applyFont="1" applyFill="1" applyBorder="1" applyAlignment="1">
      <alignment horizontal="center"/>
    </xf>
    <xf numFmtId="49" fontId="16" fillId="8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left" vertical="center"/>
    </xf>
    <xf numFmtId="0" fontId="16" fillId="0" borderId="0" xfId="1" applyFont="1" applyAlignment="1">
      <alignment horizontal="center"/>
    </xf>
    <xf numFmtId="0" fontId="16" fillId="0" borderId="0" xfId="0" applyFont="1" applyAlignment="1">
      <alignment horizontal="center" vertical="center"/>
    </xf>
    <xf numFmtId="49" fontId="16" fillId="29" borderId="1" xfId="0" applyNumberFormat="1" applyFont="1" applyFill="1" applyBorder="1" applyAlignment="1">
      <alignment horizontal="center"/>
    </xf>
    <xf numFmtId="49" fontId="16" fillId="28" borderId="1" xfId="0" applyNumberFormat="1" applyFont="1" applyFill="1" applyBorder="1" applyAlignment="1">
      <alignment horizontal="center" vertical="center"/>
    </xf>
    <xf numFmtId="0" fontId="3" fillId="0" borderId="0" xfId="3" applyFill="1">
      <alignment vertical="center"/>
    </xf>
    <xf numFmtId="0" fontId="16" fillId="0" borderId="40" xfId="3" applyFont="1" applyFill="1" applyBorder="1" applyAlignment="1">
      <alignment horizontal="center" vertical="center" wrapText="1"/>
    </xf>
    <xf numFmtId="0" fontId="16" fillId="0" borderId="1" xfId="3" applyFont="1" applyBorder="1" applyAlignment="1">
      <alignment horizontal="center" vertical="center"/>
    </xf>
    <xf numFmtId="0" fontId="16" fillId="0" borderId="40" xfId="3" applyFont="1" applyFill="1" applyBorder="1" applyAlignment="1">
      <alignment horizontal="center" vertical="center"/>
    </xf>
    <xf numFmtId="0" fontId="16" fillId="0" borderId="0" xfId="3" applyFont="1">
      <alignment vertical="center"/>
    </xf>
    <xf numFmtId="0" fontId="16" fillId="0" borderId="46" xfId="3" applyFont="1" applyFill="1" applyBorder="1" applyAlignment="1">
      <alignment horizontal="center" vertical="center"/>
    </xf>
    <xf numFmtId="0" fontId="14" fillId="0" borderId="0" xfId="3" applyFont="1" applyBorder="1" applyAlignment="1">
      <alignment horizontal="center" vertical="center"/>
    </xf>
    <xf numFmtId="0" fontId="16" fillId="0" borderId="1" xfId="3" applyFont="1" applyBorder="1">
      <alignment vertical="center"/>
    </xf>
    <xf numFmtId="0" fontId="3" fillId="0" borderId="0" xfId="3">
      <alignment vertical="center"/>
    </xf>
    <xf numFmtId="0" fontId="16" fillId="0" borderId="38" xfId="3" applyFont="1" applyFill="1" applyBorder="1" applyAlignment="1">
      <alignment horizontal="center" vertical="center" wrapText="1"/>
    </xf>
    <xf numFmtId="0" fontId="16" fillId="0" borderId="66" xfId="3" applyFont="1" applyFill="1" applyBorder="1" applyAlignment="1">
      <alignment horizontal="center" vertical="center"/>
    </xf>
    <xf numFmtId="0" fontId="14" fillId="0" borderId="0" xfId="3" applyFont="1" applyBorder="1" applyAlignment="1">
      <alignment horizontal="center"/>
    </xf>
    <xf numFmtId="0" fontId="16" fillId="0" borderId="39" xfId="3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/>
    </xf>
    <xf numFmtId="0" fontId="16" fillId="0" borderId="35" xfId="3" applyFont="1" applyBorder="1" applyAlignment="1">
      <alignment horizontal="center" vertical="center"/>
    </xf>
    <xf numFmtId="0" fontId="16" fillId="0" borderId="31" xfId="3" quotePrefix="1" applyFont="1" applyBorder="1" applyAlignment="1">
      <alignment horizontal="center" vertical="center"/>
    </xf>
    <xf numFmtId="0" fontId="24" fillId="0" borderId="1" xfId="3" applyFont="1" applyBorder="1" applyAlignment="1">
      <alignment horizontal="center" vertical="center"/>
    </xf>
    <xf numFmtId="0" fontId="16" fillId="0" borderId="39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0" fontId="16" fillId="0" borderId="1" xfId="3" applyFont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24" fillId="0" borderId="3" xfId="3" applyFont="1" applyBorder="1" applyAlignment="1">
      <alignment horizontal="center" vertical="center"/>
    </xf>
    <xf numFmtId="0" fontId="16" fillId="0" borderId="3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top" wrapText="1"/>
    </xf>
    <xf numFmtId="0" fontId="24" fillId="0" borderId="39" xfId="3" applyFont="1" applyBorder="1" applyAlignment="1">
      <alignment horizontal="center" vertical="center"/>
    </xf>
    <xf numFmtId="0" fontId="24" fillId="0" borderId="35" xfId="3" applyFont="1" applyBorder="1" applyAlignment="1">
      <alignment horizontal="center" vertical="center"/>
    </xf>
    <xf numFmtId="0" fontId="16" fillId="0" borderId="35" xfId="3" applyFont="1" applyBorder="1" applyAlignment="1">
      <alignment horizontal="center" vertical="center" wrapText="1"/>
    </xf>
    <xf numFmtId="0" fontId="16" fillId="0" borderId="37" xfId="3" applyFont="1" applyBorder="1" applyAlignment="1">
      <alignment horizontal="center" vertical="center" wrapText="1"/>
    </xf>
    <xf numFmtId="0" fontId="24" fillId="0" borderId="19" xfId="3" applyFont="1" applyBorder="1" applyAlignment="1">
      <alignment horizontal="center" vertical="center"/>
    </xf>
    <xf numFmtId="0" fontId="25" fillId="0" borderId="1" xfId="3" applyFont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49" fontId="25" fillId="0" borderId="1" xfId="3" applyNumberFormat="1" applyFont="1" applyBorder="1" applyAlignment="1">
      <alignment horizontal="center" vertical="center" wrapText="1"/>
    </xf>
    <xf numFmtId="0" fontId="16" fillId="0" borderId="1" xfId="3" applyFont="1" applyBorder="1" applyAlignment="1">
      <alignment horizontal="center" vertical="top" wrapText="1"/>
    </xf>
    <xf numFmtId="49" fontId="16" fillId="0" borderId="1" xfId="3" applyNumberFormat="1" applyFont="1" applyBorder="1" applyAlignment="1">
      <alignment horizontal="center" vertical="top" wrapText="1"/>
    </xf>
    <xf numFmtId="0" fontId="16" fillId="0" borderId="1" xfId="4" applyFont="1" applyBorder="1" applyAlignment="1" applyProtection="1">
      <alignment horizontal="center" vertical="center"/>
    </xf>
    <xf numFmtId="0" fontId="16" fillId="0" borderId="1" xfId="3" applyFont="1" applyBorder="1" applyAlignment="1">
      <alignment horizontal="left" vertical="center" wrapText="1"/>
    </xf>
    <xf numFmtId="49" fontId="16" fillId="0" borderId="1" xfId="3" applyNumberFormat="1" applyFont="1" applyBorder="1" applyAlignment="1">
      <alignment horizontal="left" vertical="center" wrapText="1"/>
    </xf>
    <xf numFmtId="0" fontId="16" fillId="0" borderId="1" xfId="3" applyFont="1" applyBorder="1" applyAlignment="1">
      <alignment horizontal="left" vertical="center"/>
    </xf>
    <xf numFmtId="0" fontId="16" fillId="0" borderId="1" xfId="3" applyFont="1" applyBorder="1" applyAlignment="1">
      <alignment vertical="center" wrapText="1"/>
    </xf>
    <xf numFmtId="0" fontId="16" fillId="0" borderId="8" xfId="0" applyFont="1" applyBorder="1" applyAlignment="1">
      <alignment horizont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3" fillId="0" borderId="31" xfId="3" applyBorder="1">
      <alignment vertical="center"/>
    </xf>
    <xf numFmtId="0" fontId="6" fillId="0" borderId="19" xfId="0" applyFont="1" applyBorder="1" applyAlignment="1">
      <alignment horizontal="center" vertical="center"/>
    </xf>
    <xf numFmtId="0" fontId="3" fillId="0" borderId="37" xfId="3" applyBorder="1">
      <alignment vertical="center"/>
    </xf>
    <xf numFmtId="0" fontId="6" fillId="0" borderId="33" xfId="0" applyFont="1" applyBorder="1" applyAlignment="1">
      <alignment horizontal="center" vertical="center"/>
    </xf>
    <xf numFmtId="0" fontId="31" fillId="0" borderId="0" xfId="0" applyFont="1"/>
    <xf numFmtId="0" fontId="4" fillId="0" borderId="5" xfId="0" applyFont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/>
    <xf numFmtId="0" fontId="4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center" vertical="center"/>
    </xf>
    <xf numFmtId="0" fontId="32" fillId="19" borderId="4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/>
    </xf>
    <xf numFmtId="0" fontId="6" fillId="9" borderId="34" xfId="0" applyFont="1" applyFill="1" applyBorder="1" applyAlignment="1">
      <alignment horizontal="center" vertical="center"/>
    </xf>
    <xf numFmtId="0" fontId="4" fillId="27" borderId="35" xfId="0" applyFont="1" applyFill="1" applyBorder="1" applyAlignment="1">
      <alignment horizontal="center" vertical="center"/>
    </xf>
    <xf numFmtId="0" fontId="4" fillId="27" borderId="37" xfId="0" applyFont="1" applyFill="1" applyBorder="1" applyAlignment="1">
      <alignment horizontal="center" vertical="center"/>
    </xf>
    <xf numFmtId="0" fontId="4" fillId="27" borderId="31" xfId="0" applyFont="1" applyFill="1" applyBorder="1" applyAlignment="1">
      <alignment horizontal="center" vertical="center"/>
    </xf>
    <xf numFmtId="0" fontId="6" fillId="9" borderId="30" xfId="0" applyFont="1" applyFill="1" applyBorder="1" applyAlignment="1">
      <alignment horizontal="center" vertical="center"/>
    </xf>
    <xf numFmtId="0" fontId="4" fillId="27" borderId="30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27" borderId="33" xfId="0" applyFont="1" applyFill="1" applyBorder="1" applyAlignment="1">
      <alignment horizontal="center" vertical="center"/>
    </xf>
    <xf numFmtId="0" fontId="4" fillId="27" borderId="19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4" fillId="0" borderId="0" xfId="5" applyFont="1">
      <alignment vertical="center"/>
    </xf>
    <xf numFmtId="0" fontId="4" fillId="0" borderId="0" xfId="5" applyFont="1" applyAlignment="1">
      <alignment horizontal="center" vertical="center"/>
    </xf>
    <xf numFmtId="0" fontId="7" fillId="0" borderId="0" xfId="5" applyFont="1">
      <alignment vertical="center"/>
    </xf>
    <xf numFmtId="0" fontId="6" fillId="0" borderId="0" xfId="5" applyFont="1" applyBorder="1">
      <alignment vertical="center"/>
    </xf>
    <xf numFmtId="0" fontId="6" fillId="0" borderId="20" xfId="5" applyFont="1" applyFill="1" applyBorder="1" applyAlignment="1">
      <alignment horizontal="center" vertical="center"/>
    </xf>
    <xf numFmtId="0" fontId="4" fillId="0" borderId="19" xfId="5" applyFont="1" applyFill="1" applyBorder="1">
      <alignment vertical="center"/>
    </xf>
    <xf numFmtId="0" fontId="4" fillId="0" borderId="19" xfId="5" applyFont="1" applyFill="1" applyBorder="1" applyAlignment="1">
      <alignment horizontal="center" vertical="center"/>
    </xf>
    <xf numFmtId="0" fontId="9" fillId="0" borderId="19" xfId="5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9" xfId="5" applyFont="1" applyBorder="1">
      <alignment vertical="center"/>
    </xf>
    <xf numFmtId="0" fontId="4" fillId="2" borderId="33" xfId="0" applyFont="1" applyFill="1" applyBorder="1" applyAlignment="1">
      <alignment horizontal="center" vertical="center"/>
    </xf>
    <xf numFmtId="0" fontId="4" fillId="0" borderId="46" xfId="5" applyFont="1" applyBorder="1" applyAlignment="1">
      <alignment horizontal="center" vertical="center"/>
    </xf>
    <xf numFmtId="0" fontId="6" fillId="0" borderId="31" xfId="5" applyFont="1" applyFill="1" applyBorder="1" applyAlignment="1">
      <alignment horizontal="center" vertical="center"/>
    </xf>
    <xf numFmtId="0" fontId="6" fillId="0" borderId="1" xfId="5" applyFont="1" applyFill="1" applyBorder="1" applyAlignment="1">
      <alignment horizontal="center" vertical="center"/>
    </xf>
    <xf numFmtId="0" fontId="4" fillId="0" borderId="1" xfId="5" applyFont="1" applyFill="1" applyBorder="1">
      <alignment vertical="center"/>
    </xf>
    <xf numFmtId="0" fontId="6" fillId="0" borderId="1" xfId="5" applyFont="1" applyFill="1" applyBorder="1" applyAlignment="1">
      <alignment horizontal="center"/>
    </xf>
    <xf numFmtId="0" fontId="4" fillId="0" borderId="1" xfId="5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0" borderId="5" xfId="5" applyFont="1" applyBorder="1" applyAlignment="1">
      <alignment horizontal="center" vertical="center"/>
    </xf>
    <xf numFmtId="0" fontId="9" fillId="0" borderId="1" xfId="5" applyFont="1" applyFill="1" applyBorder="1" applyAlignment="1">
      <alignment horizontal="center" vertical="center"/>
    </xf>
    <xf numFmtId="0" fontId="4" fillId="0" borderId="31" xfId="5" applyFont="1" applyFill="1" applyBorder="1">
      <alignment vertical="center"/>
    </xf>
    <xf numFmtId="0" fontId="29" fillId="0" borderId="1" xfId="5" applyFont="1" applyFill="1" applyBorder="1" applyAlignment="1">
      <alignment horizontal="center" vertical="center"/>
    </xf>
    <xf numFmtId="0" fontId="27" fillId="0" borderId="1" xfId="5" applyFont="1" applyFill="1" applyBorder="1" applyAlignment="1">
      <alignment horizontal="center" vertical="center"/>
    </xf>
    <xf numFmtId="0" fontId="6" fillId="0" borderId="30" xfId="5" applyFont="1" applyFill="1" applyBorder="1" applyAlignment="1">
      <alignment horizontal="center" vertical="center"/>
    </xf>
    <xf numFmtId="0" fontId="4" fillId="0" borderId="1" xfId="5" applyFont="1" applyBorder="1">
      <alignment vertical="center"/>
    </xf>
    <xf numFmtId="0" fontId="4" fillId="0" borderId="30" xfId="5" applyFont="1" applyFill="1" applyBorder="1">
      <alignment vertical="center"/>
    </xf>
    <xf numFmtId="0" fontId="4" fillId="0" borderId="1" xfId="5" applyFont="1" applyFill="1" applyBorder="1" applyAlignment="1"/>
    <xf numFmtId="0" fontId="6" fillId="2" borderId="37" xfId="0" applyFont="1" applyFill="1" applyBorder="1" applyAlignment="1">
      <alignment horizontal="center" vertical="center"/>
    </xf>
    <xf numFmtId="0" fontId="4" fillId="0" borderId="35" xfId="5" applyFont="1" applyFill="1" applyBorder="1">
      <alignment vertical="center"/>
    </xf>
    <xf numFmtId="0" fontId="4" fillId="0" borderId="35" xfId="5" applyFont="1" applyFill="1" applyBorder="1" applyAlignment="1">
      <alignment horizontal="center" vertical="center"/>
    </xf>
    <xf numFmtId="0" fontId="6" fillId="0" borderId="35" xfId="5" applyFont="1" applyFill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6" fillId="0" borderId="34" xfId="5" applyFont="1" applyFill="1" applyBorder="1" applyAlignment="1">
      <alignment horizontal="center" vertical="center"/>
    </xf>
    <xf numFmtId="0" fontId="4" fillId="0" borderId="36" xfId="5" applyFont="1" applyBorder="1" applyAlignment="1">
      <alignment horizontal="center" vertical="center"/>
    </xf>
    <xf numFmtId="0" fontId="4" fillId="0" borderId="46" xfId="5" applyFont="1" applyBorder="1" applyAlignment="1">
      <alignment horizontal="center" vertical="center" wrapText="1"/>
    </xf>
    <xf numFmtId="0" fontId="4" fillId="0" borderId="33" xfId="5" applyFont="1" applyBorder="1" applyAlignment="1">
      <alignment horizontal="center" vertical="center" wrapText="1"/>
    </xf>
    <xf numFmtId="0" fontId="4" fillId="0" borderId="60" xfId="5" applyFont="1" applyBorder="1">
      <alignment vertical="center"/>
    </xf>
    <xf numFmtId="0" fontId="4" fillId="0" borderId="0" xfId="5" applyFont="1" applyAlignment="1"/>
    <xf numFmtId="0" fontId="4" fillId="0" borderId="20" xfId="5" applyFont="1" applyFill="1" applyBorder="1" applyAlignment="1">
      <alignment horizontal="center" vertical="center"/>
    </xf>
    <xf numFmtId="0" fontId="4" fillId="0" borderId="19" xfId="5" applyFont="1" applyFill="1" applyBorder="1" applyAlignment="1">
      <alignment horizontal="center" vertical="center" wrapText="1"/>
    </xf>
    <xf numFmtId="0" fontId="4" fillId="9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0" xfId="5" applyFont="1" applyBorder="1" applyAlignment="1">
      <alignment horizontal="center" vertical="center"/>
    </xf>
    <xf numFmtId="0" fontId="6" fillId="0" borderId="19" xfId="5" applyFont="1" applyFill="1" applyBorder="1" applyAlignment="1">
      <alignment horizontal="center"/>
    </xf>
    <xf numFmtId="0" fontId="4" fillId="0" borderId="31" xfId="5" applyFont="1" applyFill="1" applyBorder="1" applyAlignment="1">
      <alignment horizontal="center" vertical="center"/>
    </xf>
    <xf numFmtId="0" fontId="4" fillId="0" borderId="31" xfId="5" applyFont="1" applyBorder="1" applyAlignment="1">
      <alignment horizontal="center" vertical="center"/>
    </xf>
    <xf numFmtId="0" fontId="6" fillId="0" borderId="31" xfId="5" applyFont="1" applyFill="1" applyBorder="1" applyAlignment="1">
      <alignment horizontal="center"/>
    </xf>
    <xf numFmtId="0" fontId="6" fillId="0" borderId="30" xfId="5" applyFont="1" applyFill="1" applyBorder="1" applyAlignment="1">
      <alignment horizontal="center"/>
    </xf>
    <xf numFmtId="0" fontId="6" fillId="0" borderId="1" xfId="5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0" borderId="0" xfId="5" applyFont="1" applyBorder="1">
      <alignment vertical="center"/>
    </xf>
    <xf numFmtId="0" fontId="6" fillId="0" borderId="5" xfId="5" applyFont="1" applyBorder="1" applyAlignment="1">
      <alignment horizontal="center" vertical="center"/>
    </xf>
    <xf numFmtId="0" fontId="4" fillId="0" borderId="40" xfId="5" applyFont="1" applyBorder="1" applyAlignment="1">
      <alignment horizontal="center" vertical="center"/>
    </xf>
    <xf numFmtId="0" fontId="4" fillId="0" borderId="30" xfId="5" applyFont="1" applyFill="1" applyBorder="1" applyAlignment="1">
      <alignment horizontal="center" vertical="center"/>
    </xf>
    <xf numFmtId="0" fontId="4" fillId="0" borderId="1" xfId="5" applyFont="1" applyBorder="1" applyAlignment="1">
      <alignment horizontal="center" vertical="center"/>
    </xf>
    <xf numFmtId="0" fontId="4" fillId="0" borderId="37" xfId="5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16" borderId="35" xfId="0" applyFont="1" applyFill="1" applyBorder="1" applyAlignment="1">
      <alignment horizontal="center" vertical="center"/>
    </xf>
    <xf numFmtId="0" fontId="4" fillId="0" borderId="37" xfId="5" applyFont="1" applyBorder="1" applyAlignment="1">
      <alignment horizontal="center" vertical="center"/>
    </xf>
    <xf numFmtId="0" fontId="6" fillId="0" borderId="35" xfId="5" applyFont="1" applyFill="1" applyBorder="1" applyAlignment="1">
      <alignment horizontal="center"/>
    </xf>
    <xf numFmtId="0" fontId="4" fillId="0" borderId="22" xfId="5" applyFont="1" applyBorder="1" applyAlignment="1">
      <alignment horizontal="center" vertical="center" wrapText="1"/>
    </xf>
    <xf numFmtId="0" fontId="4" fillId="0" borderId="21" xfId="5" applyFont="1" applyBorder="1" applyAlignment="1">
      <alignment horizontal="center" vertical="center" wrapText="1"/>
    </xf>
    <xf numFmtId="0" fontId="4" fillId="0" borderId="19" xfId="5" applyFont="1" applyBorder="1" applyAlignment="1">
      <alignment horizontal="center" vertical="center" wrapText="1"/>
    </xf>
    <xf numFmtId="0" fontId="4" fillId="0" borderId="19" xfId="5" applyFont="1" applyBorder="1" applyAlignment="1">
      <alignment horizontal="center" vertical="center"/>
    </xf>
    <xf numFmtId="0" fontId="4" fillId="0" borderId="18" xfId="5" applyFont="1" applyBorder="1" applyAlignment="1">
      <alignment horizontal="center" vertical="center"/>
    </xf>
    <xf numFmtId="0" fontId="4" fillId="0" borderId="17" xfId="5" applyFont="1" applyBorder="1" applyAlignment="1">
      <alignment horizontal="center" vertical="center"/>
    </xf>
    <xf numFmtId="0" fontId="4" fillId="0" borderId="31" xfId="5" applyFont="1" applyBorder="1" applyAlignment="1">
      <alignment horizontal="center"/>
    </xf>
    <xf numFmtId="0" fontId="4" fillId="0" borderId="2" xfId="5" applyFont="1" applyBorder="1" applyAlignment="1">
      <alignment horizontal="center" vertical="center"/>
    </xf>
    <xf numFmtId="0" fontId="4" fillId="0" borderId="57" xfId="5" applyFont="1" applyBorder="1" applyAlignment="1">
      <alignment horizontal="center" vertical="center"/>
    </xf>
    <xf numFmtId="0" fontId="4" fillId="0" borderId="15" xfId="5" applyFont="1" applyBorder="1" applyAlignment="1">
      <alignment horizontal="center" vertical="center"/>
    </xf>
    <xf numFmtId="0" fontId="4" fillId="0" borderId="3" xfId="5" applyFont="1" applyBorder="1" applyAlignment="1">
      <alignment horizontal="center" vertical="center"/>
    </xf>
    <xf numFmtId="0" fontId="4" fillId="0" borderId="14" xfId="5" applyFont="1" applyBorder="1" applyAlignment="1">
      <alignment horizontal="center" vertical="center"/>
    </xf>
    <xf numFmtId="0" fontId="4" fillId="0" borderId="13" xfId="5" applyFont="1" applyBorder="1" applyAlignment="1">
      <alignment horizontal="center" vertical="center"/>
    </xf>
    <xf numFmtId="0" fontId="4" fillId="0" borderId="11" xfId="5" applyFont="1" applyBorder="1" applyAlignment="1">
      <alignment horizontal="center" vertical="center"/>
    </xf>
    <xf numFmtId="0" fontId="4" fillId="0" borderId="10" xfId="5" applyFont="1" applyBorder="1" applyAlignment="1">
      <alignment horizontal="center" vertical="center"/>
    </xf>
    <xf numFmtId="0" fontId="4" fillId="0" borderId="9" xfId="5" applyFont="1" applyBorder="1" applyAlignment="1">
      <alignment horizontal="center" vertical="center"/>
    </xf>
    <xf numFmtId="0" fontId="4" fillId="0" borderId="8" xfId="5" applyFont="1" applyBorder="1" applyAlignment="1">
      <alignment horizontal="center" vertical="center"/>
    </xf>
    <xf numFmtId="0" fontId="16" fillId="0" borderId="8" xfId="5" applyFont="1" applyFill="1" applyBorder="1" applyAlignment="1">
      <alignment horizontal="center"/>
    </xf>
    <xf numFmtId="0" fontId="16" fillId="0" borderId="26" xfId="5" applyFont="1" applyFill="1" applyBorder="1" applyAlignment="1">
      <alignment horizontal="center"/>
    </xf>
    <xf numFmtId="0" fontId="4" fillId="0" borderId="0" xfId="5" applyFont="1" applyAlignment="1">
      <alignment horizontal="center"/>
    </xf>
    <xf numFmtId="0" fontId="4" fillId="0" borderId="0" xfId="5" applyFont="1" applyFill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33" xfId="5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27" borderId="46" xfId="0" applyFont="1" applyFill="1" applyBorder="1" applyAlignment="1">
      <alignment horizontal="center" vertical="center"/>
    </xf>
    <xf numFmtId="0" fontId="4" fillId="0" borderId="19" xfId="5" applyFont="1" applyFill="1" applyBorder="1" applyAlignment="1">
      <alignment horizontal="center"/>
    </xf>
    <xf numFmtId="0" fontId="6" fillId="0" borderId="19" xfId="5" applyFont="1" applyFill="1" applyBorder="1" applyAlignment="1">
      <alignment horizontal="center" vertical="center"/>
    </xf>
    <xf numFmtId="0" fontId="4" fillId="0" borderId="53" xfId="5" applyFont="1" applyFill="1" applyBorder="1" applyAlignment="1">
      <alignment horizontal="center" vertical="center"/>
    </xf>
    <xf numFmtId="0" fontId="4" fillId="0" borderId="0" xfId="5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4" fillId="0" borderId="30" xfId="5" applyFont="1" applyFill="1" applyBorder="1" applyAlignment="1">
      <alignment horizontal="center"/>
    </xf>
    <xf numFmtId="0" fontId="9" fillId="0" borderId="5" xfId="5" applyFont="1" applyFill="1" applyBorder="1" applyAlignment="1">
      <alignment horizontal="center" vertical="center"/>
    </xf>
    <xf numFmtId="0" fontId="4" fillId="0" borderId="5" xfId="5" applyFont="1" applyFill="1" applyBorder="1" applyAlignment="1">
      <alignment horizontal="center" vertical="center"/>
    </xf>
    <xf numFmtId="0" fontId="8" fillId="0" borderId="1" xfId="5" applyFont="1" applyFill="1" applyBorder="1" applyAlignment="1">
      <alignment horizontal="center" vertical="center"/>
    </xf>
    <xf numFmtId="0" fontId="4" fillId="0" borderId="30" xfId="5" applyFont="1" applyBorder="1" applyAlignment="1">
      <alignment horizontal="center" vertical="center"/>
    </xf>
    <xf numFmtId="0" fontId="4" fillId="0" borderId="1" xfId="5" applyFont="1" applyFill="1" applyBorder="1" applyAlignment="1">
      <alignment horizontal="center"/>
    </xf>
    <xf numFmtId="0" fontId="4" fillId="27" borderId="5" xfId="0" applyFont="1" applyFill="1" applyBorder="1" applyAlignment="1">
      <alignment horizontal="center" vertical="center"/>
    </xf>
    <xf numFmtId="0" fontId="4" fillId="0" borderId="31" xfId="5" applyFont="1" applyFill="1" applyBorder="1" applyAlignment="1">
      <alignment horizontal="center"/>
    </xf>
    <xf numFmtId="0" fontId="4" fillId="8" borderId="3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27" fillId="0" borderId="30" xfId="5" applyFont="1" applyFill="1" applyBorder="1" applyAlignment="1">
      <alignment horizontal="center" vertical="center"/>
    </xf>
    <xf numFmtId="0" fontId="4" fillId="0" borderId="2" xfId="5" applyFont="1" applyFill="1" applyBorder="1" applyAlignment="1">
      <alignment horizontal="center" vertical="center"/>
    </xf>
    <xf numFmtId="0" fontId="4" fillId="27" borderId="2" xfId="0" applyFont="1" applyFill="1" applyBorder="1" applyAlignment="1">
      <alignment horizontal="center" vertical="center"/>
    </xf>
    <xf numFmtId="0" fontId="4" fillId="0" borderId="49" xfId="5" applyFont="1" applyBorder="1" applyAlignment="1">
      <alignment horizontal="center" vertical="center"/>
    </xf>
    <xf numFmtId="0" fontId="4" fillId="0" borderId="48" xfId="5" applyFont="1" applyBorder="1" applyAlignment="1">
      <alignment horizontal="center" vertical="center"/>
    </xf>
    <xf numFmtId="0" fontId="4" fillId="19" borderId="30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/>
    </xf>
    <xf numFmtId="0" fontId="4" fillId="0" borderId="27" xfId="0" applyFont="1" applyBorder="1" applyAlignment="1">
      <alignment horizontal="center" vertical="center"/>
    </xf>
    <xf numFmtId="0" fontId="4" fillId="27" borderId="3" xfId="0" applyFont="1" applyFill="1" applyBorder="1" applyAlignment="1">
      <alignment horizontal="center" vertical="center"/>
    </xf>
    <xf numFmtId="0" fontId="4" fillId="27" borderId="65" xfId="0" applyFont="1" applyFill="1" applyBorder="1" applyAlignment="1">
      <alignment horizontal="center" vertical="center"/>
    </xf>
    <xf numFmtId="0" fontId="4" fillId="27" borderId="34" xfId="0" applyFont="1" applyFill="1" applyBorder="1" applyAlignment="1">
      <alignment horizontal="center" vertical="center"/>
    </xf>
    <xf numFmtId="0" fontId="4" fillId="0" borderId="24" xfId="5" applyFont="1" applyBorder="1" applyAlignment="1">
      <alignment horizontal="center" vertical="center" wrapText="1"/>
    </xf>
    <xf numFmtId="0" fontId="4" fillId="0" borderId="45" xfId="5" applyFont="1" applyBorder="1" applyAlignment="1">
      <alignment horizontal="center" vertical="center"/>
    </xf>
    <xf numFmtId="0" fontId="4" fillId="0" borderId="44" xfId="5" applyFont="1" applyBorder="1" applyAlignment="1">
      <alignment horizontal="center" vertical="center"/>
    </xf>
    <xf numFmtId="0" fontId="4" fillId="0" borderId="24" xfId="5" applyFont="1" applyBorder="1" applyAlignment="1">
      <alignment horizontal="center" vertical="center"/>
    </xf>
    <xf numFmtId="0" fontId="4" fillId="0" borderId="11" xfId="5" applyFont="1" applyBorder="1" applyAlignment="1">
      <alignment horizontal="center" vertical="center" wrapText="1"/>
    </xf>
    <xf numFmtId="0" fontId="4" fillId="0" borderId="0" xfId="5" applyFont="1" applyAlignment="1">
      <alignment horizontal="center" vertical="center" wrapText="1"/>
    </xf>
    <xf numFmtId="0" fontId="4" fillId="0" borderId="23" xfId="5" applyFont="1" applyBorder="1" applyAlignment="1">
      <alignment horizontal="center" vertical="center" wrapText="1"/>
    </xf>
    <xf numFmtId="0" fontId="4" fillId="0" borderId="63" xfId="5" applyFont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4" fillId="27" borderId="20" xfId="0" applyFont="1" applyFill="1" applyBorder="1" applyAlignment="1">
      <alignment horizontal="center" vertical="center"/>
    </xf>
    <xf numFmtId="0" fontId="4" fillId="0" borderId="53" xfId="5" applyFont="1" applyBorder="1" applyAlignment="1">
      <alignment horizontal="center" vertical="center"/>
    </xf>
    <xf numFmtId="0" fontId="4" fillId="0" borderId="2" xfId="5" applyFont="1" applyFill="1" applyBorder="1" applyAlignment="1">
      <alignment horizontal="center"/>
    </xf>
    <xf numFmtId="0" fontId="4" fillId="0" borderId="43" xfId="5" applyFont="1" applyBorder="1" applyAlignment="1">
      <alignment horizontal="center" vertical="center" wrapText="1"/>
    </xf>
    <xf numFmtId="0" fontId="4" fillId="0" borderId="64" xfId="5" applyFont="1" applyBorder="1" applyAlignment="1">
      <alignment horizontal="center" vertical="center" wrapText="1"/>
    </xf>
    <xf numFmtId="0" fontId="4" fillId="0" borderId="34" xfId="5" applyFont="1" applyFill="1" applyBorder="1" applyAlignment="1">
      <alignment horizontal="center" vertical="center"/>
    </xf>
    <xf numFmtId="0" fontId="27" fillId="0" borderId="31" xfId="5" applyFont="1" applyFill="1" applyBorder="1" applyAlignment="1">
      <alignment horizontal="center" vertical="center"/>
    </xf>
    <xf numFmtId="0" fontId="4" fillId="0" borderId="35" xfId="5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66" xfId="5" applyFont="1" applyBorder="1" applyAlignment="1">
      <alignment horizontal="center" vertical="center" wrapText="1"/>
    </xf>
    <xf numFmtId="0" fontId="4" fillId="3" borderId="34" xfId="0" applyFont="1" applyFill="1" applyBorder="1" applyAlignment="1">
      <alignment horizontal="center" vertical="center"/>
    </xf>
    <xf numFmtId="0" fontId="4" fillId="0" borderId="37" xfId="5" applyFont="1" applyFill="1" applyBorder="1" applyAlignment="1">
      <alignment horizontal="center"/>
    </xf>
    <xf numFmtId="0" fontId="4" fillId="3" borderId="68" xfId="0" applyFont="1" applyFill="1" applyBorder="1" applyAlignment="1">
      <alignment horizontal="center" vertical="center"/>
    </xf>
    <xf numFmtId="0" fontId="4" fillId="0" borderId="28" xfId="5" applyFont="1" applyBorder="1" applyAlignment="1">
      <alignment horizontal="center" vertical="center"/>
    </xf>
    <xf numFmtId="0" fontId="4" fillId="0" borderId="43" xfId="5" applyFont="1" applyBorder="1" applyAlignment="1">
      <alignment horizontal="center" vertical="center"/>
    </xf>
    <xf numFmtId="0" fontId="4" fillId="0" borderId="64" xfId="5" applyFont="1" applyBorder="1" applyAlignment="1">
      <alignment horizontal="center" vertical="center"/>
    </xf>
    <xf numFmtId="0" fontId="6" fillId="0" borderId="0" xfId="5" applyFont="1" applyFill="1" applyBorder="1" applyAlignment="1">
      <alignment horizontal="center" vertical="center"/>
    </xf>
    <xf numFmtId="0" fontId="2" fillId="0" borderId="0" xfId="5" applyFill="1">
      <alignment vertical="center"/>
    </xf>
    <xf numFmtId="0" fontId="16" fillId="0" borderId="24" xfId="5" applyFont="1" applyFill="1" applyBorder="1" applyAlignment="1">
      <alignment horizontal="center" vertical="center"/>
    </xf>
    <xf numFmtId="0" fontId="16" fillId="0" borderId="25" xfId="5" applyFont="1" applyFill="1" applyBorder="1" applyAlignment="1">
      <alignment horizontal="center" vertical="center"/>
    </xf>
    <xf numFmtId="0" fontId="16" fillId="0" borderId="26" xfId="5" applyFont="1" applyFill="1" applyBorder="1" applyAlignment="1">
      <alignment horizontal="center" vertical="center"/>
    </xf>
    <xf numFmtId="0" fontId="16" fillId="0" borderId="10" xfId="5" applyFont="1" applyFill="1" applyBorder="1" applyAlignment="1">
      <alignment horizontal="center" vertical="center"/>
    </xf>
    <xf numFmtId="0" fontId="16" fillId="0" borderId="12" xfId="5" applyFont="1" applyFill="1" applyBorder="1" applyAlignment="1">
      <alignment horizontal="center" vertical="center" wrapText="1"/>
    </xf>
    <xf numFmtId="0" fontId="14" fillId="0" borderId="27" xfId="5" applyFont="1" applyFill="1" applyBorder="1" applyAlignment="1">
      <alignment horizontal="center" vertical="center"/>
    </xf>
    <xf numFmtId="0" fontId="14" fillId="0" borderId="3" xfId="5" applyFont="1" applyFill="1" applyBorder="1" applyAlignment="1">
      <alignment horizontal="center" vertical="center"/>
    </xf>
    <xf numFmtId="0" fontId="14" fillId="0" borderId="30" xfId="5" applyFont="1" applyFill="1" applyBorder="1" applyAlignment="1">
      <alignment horizontal="center"/>
    </xf>
    <xf numFmtId="0" fontId="14" fillId="0" borderId="1" xfId="5" applyFont="1" applyFill="1" applyBorder="1" applyAlignment="1">
      <alignment horizontal="center" vertical="center"/>
    </xf>
    <xf numFmtId="0" fontId="14" fillId="0" borderId="31" xfId="5" applyFont="1" applyFill="1" applyBorder="1" applyAlignment="1">
      <alignment horizontal="center" vertical="center"/>
    </xf>
    <xf numFmtId="0" fontId="14" fillId="0" borderId="1" xfId="5" applyFont="1" applyFill="1" applyBorder="1" applyAlignment="1">
      <alignment horizontal="center"/>
    </xf>
    <xf numFmtId="0" fontId="14" fillId="0" borderId="31" xfId="5" applyFont="1" applyFill="1" applyBorder="1" applyAlignment="1">
      <alignment horizontal="center"/>
    </xf>
    <xf numFmtId="0" fontId="16" fillId="0" borderId="0" xfId="5" applyFont="1" applyFill="1" applyBorder="1" applyAlignment="1"/>
    <xf numFmtId="0" fontId="2" fillId="0" borderId="0" xfId="5" applyFill="1" applyBorder="1">
      <alignment vertical="center"/>
    </xf>
    <xf numFmtId="0" fontId="16" fillId="0" borderId="1" xfId="5" applyFont="1" applyFill="1" applyBorder="1" applyAlignment="1">
      <alignment horizontal="center"/>
    </xf>
    <xf numFmtId="0" fontId="14" fillId="0" borderId="0" xfId="5" applyFont="1" applyFill="1" applyBorder="1" applyAlignment="1">
      <alignment horizontal="center" vertical="center"/>
    </xf>
    <xf numFmtId="0" fontId="14" fillId="0" borderId="1" xfId="5" applyFont="1" applyFill="1" applyBorder="1" applyAlignment="1">
      <alignment horizontal="center" vertical="center" wrapText="1"/>
    </xf>
    <xf numFmtId="0" fontId="2" fillId="0" borderId="1" xfId="5" applyFill="1" applyBorder="1">
      <alignment vertical="center"/>
    </xf>
    <xf numFmtId="0" fontId="2" fillId="0" borderId="30" xfId="5" applyFill="1" applyBorder="1">
      <alignment vertical="center"/>
    </xf>
    <xf numFmtId="0" fontId="16" fillId="0" borderId="1" xfId="5" applyFont="1" applyFill="1" applyBorder="1" applyAlignment="1"/>
    <xf numFmtId="0" fontId="2" fillId="0" borderId="31" xfId="5" applyFill="1" applyBorder="1">
      <alignment vertical="center"/>
    </xf>
    <xf numFmtId="0" fontId="16" fillId="0" borderId="31" xfId="5" applyFont="1" applyFill="1" applyBorder="1" applyAlignment="1"/>
    <xf numFmtId="0" fontId="16" fillId="0" borderId="32" xfId="5" applyFont="1" applyFill="1" applyBorder="1" applyAlignment="1">
      <alignment horizontal="center" vertical="center" wrapText="1"/>
    </xf>
    <xf numFmtId="0" fontId="2" fillId="0" borderId="33" xfId="5" applyFill="1" applyBorder="1">
      <alignment vertical="center"/>
    </xf>
    <xf numFmtId="0" fontId="14" fillId="0" borderId="19" xfId="5" applyFont="1" applyFill="1" applyBorder="1" applyAlignment="1">
      <alignment horizontal="center" vertical="center"/>
    </xf>
    <xf numFmtId="0" fontId="2" fillId="0" borderId="19" xfId="5" applyFill="1" applyBorder="1">
      <alignment vertical="center"/>
    </xf>
    <xf numFmtId="0" fontId="16" fillId="0" borderId="19" xfId="5" applyFont="1" applyFill="1" applyBorder="1" applyAlignment="1"/>
    <xf numFmtId="0" fontId="2" fillId="0" borderId="20" xfId="5" applyFill="1" applyBorder="1">
      <alignment vertical="center"/>
    </xf>
    <xf numFmtId="0" fontId="16" fillId="0" borderId="36" xfId="5" applyFont="1" applyFill="1" applyBorder="1" applyAlignment="1">
      <alignment horizontal="center" vertical="center" wrapText="1"/>
    </xf>
    <xf numFmtId="0" fontId="16" fillId="0" borderId="35" xfId="5" applyFont="1" applyFill="1" applyBorder="1" applyAlignment="1">
      <alignment horizontal="center"/>
    </xf>
    <xf numFmtId="0" fontId="14" fillId="0" borderId="35" xfId="5" applyFont="1" applyFill="1" applyBorder="1" applyAlignment="1">
      <alignment horizontal="center"/>
    </xf>
    <xf numFmtId="0" fontId="14" fillId="0" borderId="35" xfId="5" applyFont="1" applyFill="1" applyBorder="1" applyAlignment="1">
      <alignment horizontal="center" vertical="center"/>
    </xf>
    <xf numFmtId="0" fontId="14" fillId="0" borderId="37" xfId="5" applyFont="1" applyFill="1" applyBorder="1" applyAlignment="1">
      <alignment horizontal="center"/>
    </xf>
    <xf numFmtId="0" fontId="16" fillId="0" borderId="5" xfId="5" applyFont="1" applyFill="1" applyBorder="1" applyAlignment="1">
      <alignment horizontal="center" vertical="center" wrapText="1"/>
    </xf>
    <xf numFmtId="0" fontId="16" fillId="0" borderId="1" xfId="5" applyFont="1" applyFill="1" applyBorder="1" applyAlignment="1">
      <alignment horizontal="center" vertical="center"/>
    </xf>
    <xf numFmtId="0" fontId="21" fillId="0" borderId="1" xfId="5" applyFont="1" applyFill="1" applyBorder="1" applyAlignment="1">
      <alignment horizontal="center" vertical="center"/>
    </xf>
    <xf numFmtId="0" fontId="16" fillId="0" borderId="0" xfId="5" applyFont="1" applyFill="1" applyAlignment="1">
      <alignment horizontal="center" vertical="center"/>
    </xf>
    <xf numFmtId="0" fontId="16" fillId="0" borderId="40" xfId="5" applyFont="1" applyFill="1" applyBorder="1" applyAlignment="1">
      <alignment horizontal="center" vertical="center" wrapText="1"/>
    </xf>
    <xf numFmtId="0" fontId="16" fillId="0" borderId="33" xfId="5" applyFont="1" applyFill="1" applyBorder="1" applyAlignment="1">
      <alignment horizontal="center" vertical="center"/>
    </xf>
    <xf numFmtId="0" fontId="16" fillId="0" borderId="19" xfId="5" applyFont="1" applyFill="1" applyBorder="1" applyAlignment="1">
      <alignment horizontal="center" vertical="center"/>
    </xf>
    <xf numFmtId="0" fontId="14" fillId="0" borderId="19" xfId="5" applyFont="1" applyFill="1" applyBorder="1" applyAlignment="1">
      <alignment horizontal="center"/>
    </xf>
    <xf numFmtId="0" fontId="16" fillId="0" borderId="20" xfId="5" applyFont="1" applyFill="1" applyBorder="1" applyAlignment="1"/>
    <xf numFmtId="0" fontId="17" fillId="0" borderId="0" xfId="5" applyFont="1" applyFill="1" applyBorder="1" applyAlignment="1">
      <alignment horizontal="center" vertical="center"/>
    </xf>
    <xf numFmtId="0" fontId="16" fillId="0" borderId="35" xfId="5" applyFont="1" applyFill="1" applyBorder="1" applyAlignment="1">
      <alignment horizontal="center" vertical="center"/>
    </xf>
    <xf numFmtId="0" fontId="16" fillId="0" borderId="37" xfId="5" applyFont="1" applyFill="1" applyBorder="1" applyAlignment="1">
      <alignment horizontal="center" vertical="center"/>
    </xf>
    <xf numFmtId="0" fontId="16" fillId="0" borderId="31" xfId="5" applyFont="1" applyFill="1" applyBorder="1" applyAlignment="1">
      <alignment horizontal="center" vertical="center"/>
    </xf>
    <xf numFmtId="0" fontId="2" fillId="0" borderId="3" xfId="5" applyFill="1" applyBorder="1">
      <alignment vertical="center"/>
    </xf>
    <xf numFmtId="0" fontId="2" fillId="0" borderId="15" xfId="5" applyFill="1" applyBorder="1">
      <alignment vertical="center"/>
    </xf>
    <xf numFmtId="0" fontId="16" fillId="0" borderId="46" xfId="5" applyFont="1" applyFill="1" applyBorder="1" applyAlignment="1">
      <alignment horizontal="center" vertical="center" wrapText="1"/>
    </xf>
    <xf numFmtId="0" fontId="14" fillId="0" borderId="34" xfId="5" applyFont="1" applyFill="1" applyBorder="1" applyAlignment="1">
      <alignment horizontal="center" vertical="center"/>
    </xf>
    <xf numFmtId="0" fontId="14" fillId="0" borderId="37" xfId="5" applyFont="1" applyFill="1" applyBorder="1" applyAlignment="1">
      <alignment horizontal="center" vertical="center"/>
    </xf>
    <xf numFmtId="0" fontId="14" fillId="0" borderId="38" xfId="5" applyFont="1" applyFill="1" applyBorder="1" applyAlignment="1">
      <alignment horizontal="center"/>
    </xf>
    <xf numFmtId="0" fontId="2" fillId="0" borderId="39" xfId="5" applyFill="1" applyBorder="1">
      <alignment vertical="center"/>
    </xf>
    <xf numFmtId="0" fontId="14" fillId="0" borderId="39" xfId="5" applyFont="1" applyFill="1" applyBorder="1" applyAlignment="1">
      <alignment horizontal="center"/>
    </xf>
    <xf numFmtId="0" fontId="2" fillId="0" borderId="35" xfId="5" applyFill="1" applyBorder="1">
      <alignment vertical="center"/>
    </xf>
    <xf numFmtId="0" fontId="2" fillId="0" borderId="37" xfId="5" applyFill="1" applyBorder="1">
      <alignment vertical="center"/>
    </xf>
    <xf numFmtId="0" fontId="16" fillId="0" borderId="19" xfId="5" applyFont="1" applyFill="1" applyBorder="1">
      <alignment vertical="center"/>
    </xf>
    <xf numFmtId="0" fontId="16" fillId="0" borderId="20" xfId="5" applyFont="1" applyFill="1" applyBorder="1" applyAlignment="1">
      <alignment horizontal="center" vertical="center"/>
    </xf>
    <xf numFmtId="0" fontId="17" fillId="0" borderId="28" xfId="5" applyFont="1" applyFill="1" applyBorder="1" applyAlignment="1">
      <alignment horizontal="center" vertical="center"/>
    </xf>
    <xf numFmtId="0" fontId="16" fillId="0" borderId="30" xfId="5" applyFont="1" applyFill="1" applyBorder="1" applyAlignment="1">
      <alignment horizontal="center" vertical="center" wrapText="1"/>
    </xf>
    <xf numFmtId="0" fontId="22" fillId="0" borderId="1" xfId="5" applyFont="1" applyFill="1" applyBorder="1" applyAlignment="1">
      <alignment horizontal="center" vertical="center"/>
    </xf>
    <xf numFmtId="0" fontId="16" fillId="0" borderId="1" xfId="5" applyFont="1" applyFill="1" applyBorder="1" applyAlignment="1">
      <alignment horizontal="center" vertical="center" wrapText="1"/>
    </xf>
    <xf numFmtId="0" fontId="14" fillId="0" borderId="34" xfId="5" applyFont="1" applyFill="1" applyBorder="1" applyAlignment="1">
      <alignment horizontal="center"/>
    </xf>
    <xf numFmtId="0" fontId="2" fillId="0" borderId="0" xfId="5" applyFont="1" applyFill="1">
      <alignment vertical="center"/>
    </xf>
    <xf numFmtId="0" fontId="16" fillId="0" borderId="19" xfId="5" applyFont="1" applyFill="1" applyBorder="1" applyAlignment="1">
      <alignment horizontal="center"/>
    </xf>
    <xf numFmtId="0" fontId="14" fillId="0" borderId="20" xfId="5" applyFont="1" applyFill="1" applyBorder="1" applyAlignment="1">
      <alignment horizontal="center" vertical="center"/>
    </xf>
    <xf numFmtId="0" fontId="2" fillId="0" borderId="39" xfId="5" applyFill="1" applyBorder="1" applyAlignment="1">
      <alignment horizontal="center" vertical="center"/>
    </xf>
    <xf numFmtId="0" fontId="14" fillId="0" borderId="39" xfId="5" applyFont="1" applyFill="1" applyBorder="1" applyAlignment="1">
      <alignment horizontal="center" vertical="center"/>
    </xf>
    <xf numFmtId="0" fontId="14" fillId="0" borderId="33" xfId="5" applyFont="1" applyFill="1" applyBorder="1" applyAlignment="1">
      <alignment horizontal="center" vertical="center"/>
    </xf>
    <xf numFmtId="0" fontId="16" fillId="0" borderId="50" xfId="5" applyFont="1" applyFill="1" applyBorder="1" applyAlignment="1">
      <alignment horizontal="center" vertical="center"/>
    </xf>
    <xf numFmtId="0" fontId="14" fillId="0" borderId="44" xfId="5" applyFont="1" applyFill="1" applyBorder="1" applyAlignment="1">
      <alignment horizontal="center"/>
    </xf>
    <xf numFmtId="0" fontId="14" fillId="0" borderId="45" xfId="5" applyFont="1" applyFill="1" applyBorder="1" applyAlignment="1">
      <alignment horizontal="center"/>
    </xf>
    <xf numFmtId="0" fontId="2" fillId="0" borderId="45" xfId="5" applyFill="1" applyBorder="1">
      <alignment vertical="center"/>
    </xf>
    <xf numFmtId="0" fontId="14" fillId="0" borderId="53" xfId="5" applyFont="1" applyFill="1" applyBorder="1" applyAlignment="1">
      <alignment horizontal="center"/>
    </xf>
    <xf numFmtId="0" fontId="16" fillId="0" borderId="37" xfId="5" applyFont="1" applyFill="1" applyBorder="1" applyAlignment="1">
      <alignment horizontal="center"/>
    </xf>
    <xf numFmtId="0" fontId="16" fillId="0" borderId="8" xfId="5" applyFont="1" applyFill="1" applyBorder="1" applyAlignment="1">
      <alignment horizontal="center" vertical="center"/>
    </xf>
    <xf numFmtId="0" fontId="14" fillId="0" borderId="10" xfId="5" applyFont="1" applyFill="1" applyBorder="1" applyAlignment="1">
      <alignment horizontal="center" vertical="center"/>
    </xf>
    <xf numFmtId="0" fontId="16" fillId="0" borderId="11" xfId="5" applyFont="1" applyFill="1" applyBorder="1" applyAlignment="1">
      <alignment horizontal="center" vertical="center"/>
    </xf>
    <xf numFmtId="0" fontId="14" fillId="0" borderId="33" xfId="5" applyFont="1" applyFill="1" applyBorder="1" applyAlignment="1">
      <alignment horizontal="center"/>
    </xf>
    <xf numFmtId="0" fontId="14" fillId="0" borderId="20" xfId="5" applyFont="1" applyFill="1" applyBorder="1" applyAlignment="1">
      <alignment horizontal="center"/>
    </xf>
    <xf numFmtId="0" fontId="16" fillId="0" borderId="24" xfId="5" applyFont="1" applyFill="1" applyBorder="1" applyAlignment="1">
      <alignment horizontal="center"/>
    </xf>
    <xf numFmtId="0" fontId="14" fillId="0" borderId="10" xfId="5" applyFont="1" applyBorder="1" applyAlignment="1">
      <alignment horizontal="center" vertical="center"/>
    </xf>
    <xf numFmtId="0" fontId="16" fillId="0" borderId="10" xfId="5" applyFont="1" applyFill="1" applyBorder="1" applyAlignment="1">
      <alignment horizontal="center"/>
    </xf>
    <xf numFmtId="0" fontId="16" fillId="0" borderId="56" xfId="5" applyFont="1" applyFill="1" applyBorder="1" applyAlignment="1">
      <alignment horizontal="center" vertical="center"/>
    </xf>
    <xf numFmtId="0" fontId="16" fillId="0" borderId="57" xfId="5" applyFont="1" applyFill="1" applyBorder="1" applyAlignment="1">
      <alignment horizontal="center" vertical="center"/>
    </xf>
    <xf numFmtId="0" fontId="16" fillId="0" borderId="58" xfId="5" applyFont="1" applyFill="1" applyBorder="1" applyAlignment="1">
      <alignment horizontal="center" vertical="center"/>
    </xf>
    <xf numFmtId="0" fontId="16" fillId="0" borderId="39" xfId="5" applyFont="1" applyFill="1" applyBorder="1" applyAlignment="1">
      <alignment horizontal="center"/>
    </xf>
    <xf numFmtId="0" fontId="16" fillId="0" borderId="39" xfId="5" applyFont="1" applyFill="1" applyBorder="1" applyAlignment="1">
      <alignment horizontal="center" vertical="center"/>
    </xf>
    <xf numFmtId="0" fontId="16" fillId="0" borderId="48" xfId="5" applyFont="1" applyFill="1" applyBorder="1" applyAlignment="1">
      <alignment horizontal="center" vertical="center"/>
    </xf>
    <xf numFmtId="0" fontId="14" fillId="0" borderId="38" xfId="5" applyFont="1" applyFill="1" applyBorder="1" applyAlignment="1">
      <alignment horizontal="center" vertical="center"/>
    </xf>
    <xf numFmtId="0" fontId="14" fillId="0" borderId="48" xfId="5" applyFont="1" applyFill="1" applyBorder="1" applyAlignment="1">
      <alignment horizontal="center" vertical="center"/>
    </xf>
    <xf numFmtId="0" fontId="17" fillId="0" borderId="45" xfId="5" applyFont="1" applyFill="1" applyBorder="1" applyAlignment="1">
      <alignment horizontal="center" vertical="center"/>
    </xf>
    <xf numFmtId="0" fontId="17" fillId="0" borderId="44" xfId="5" applyFont="1" applyFill="1" applyBorder="1" applyAlignment="1">
      <alignment horizontal="center" vertical="center"/>
    </xf>
    <xf numFmtId="0" fontId="6" fillId="0" borderId="46" xfId="5" applyFont="1" applyFill="1" applyBorder="1" applyAlignment="1">
      <alignment horizontal="center" vertical="center"/>
    </xf>
    <xf numFmtId="0" fontId="6" fillId="0" borderId="33" xfId="5" applyFont="1" applyFill="1" applyBorder="1" applyAlignment="1">
      <alignment horizontal="center" vertical="center"/>
    </xf>
    <xf numFmtId="0" fontId="4" fillId="0" borderId="59" xfId="5" applyFont="1" applyBorder="1" applyAlignment="1">
      <alignment horizontal="center" vertical="center"/>
    </xf>
    <xf numFmtId="0" fontId="28" fillId="0" borderId="33" xfId="5" applyFont="1" applyFill="1" applyBorder="1" applyAlignment="1">
      <alignment horizontal="center" vertical="center"/>
    </xf>
    <xf numFmtId="0" fontId="6" fillId="0" borderId="46" xfId="5" applyFont="1" applyBorder="1" applyAlignment="1">
      <alignment horizontal="center" vertical="center"/>
    </xf>
    <xf numFmtId="0" fontId="10" fillId="0" borderId="30" xfId="5" applyFont="1" applyFill="1" applyBorder="1">
      <alignment vertical="center"/>
    </xf>
    <xf numFmtId="0" fontId="4" fillId="0" borderId="30" xfId="0" applyFont="1" applyFill="1" applyBorder="1" applyAlignment="1">
      <alignment horizontal="center" vertical="center"/>
    </xf>
    <xf numFmtId="0" fontId="4" fillId="0" borderId="29" xfId="5" applyFont="1" applyBorder="1" applyAlignment="1">
      <alignment horizontal="center" vertical="center"/>
    </xf>
    <xf numFmtId="0" fontId="28" fillId="0" borderId="1" xfId="5" applyFont="1" applyFill="1" applyBorder="1" applyAlignment="1">
      <alignment horizontal="center" vertical="center"/>
    </xf>
    <xf numFmtId="0" fontId="10" fillId="0" borderId="1" xfId="5" applyFont="1" applyFill="1" applyBorder="1">
      <alignment vertical="center"/>
    </xf>
    <xf numFmtId="0" fontId="6" fillId="0" borderId="31" xfId="5" applyFont="1" applyFill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/>
    </xf>
    <xf numFmtId="0" fontId="4" fillId="0" borderId="42" xfId="5" applyFont="1" applyBorder="1" applyAlignment="1">
      <alignment horizontal="center" vertical="center"/>
    </xf>
    <xf numFmtId="0" fontId="4" fillId="0" borderId="34" xfId="0" applyFont="1" applyBorder="1" applyAlignment="1">
      <alignment horizontal="center"/>
    </xf>
    <xf numFmtId="0" fontId="6" fillId="27" borderId="15" xfId="0" applyFont="1" applyFill="1" applyBorder="1" applyAlignment="1">
      <alignment horizontal="center" vertical="center"/>
    </xf>
    <xf numFmtId="0" fontId="6" fillId="27" borderId="3" xfId="0" applyFont="1" applyFill="1" applyBorder="1" applyAlignment="1">
      <alignment horizontal="center" vertical="center"/>
    </xf>
    <xf numFmtId="0" fontId="6" fillId="0" borderId="3" xfId="5" applyFont="1" applyFill="1" applyBorder="1" applyAlignment="1">
      <alignment horizontal="center" vertical="center"/>
    </xf>
    <xf numFmtId="0" fontId="6" fillId="0" borderId="36" xfId="5" applyFont="1" applyBorder="1" applyAlignment="1">
      <alignment horizontal="center" vertical="center"/>
    </xf>
    <xf numFmtId="0" fontId="6" fillId="0" borderId="11" xfId="5" applyFont="1" applyBorder="1" applyAlignment="1">
      <alignment horizontal="center" vertical="center"/>
    </xf>
    <xf numFmtId="0" fontId="6" fillId="0" borderId="24" xfId="5" applyFont="1" applyBorder="1" applyAlignment="1">
      <alignment horizontal="center" vertical="center"/>
    </xf>
    <xf numFmtId="0" fontId="6" fillId="0" borderId="23" xfId="5" applyFont="1" applyBorder="1" applyAlignment="1">
      <alignment horizontal="center" vertical="center"/>
    </xf>
    <xf numFmtId="0" fontId="6" fillId="0" borderId="66" xfId="5" applyFont="1" applyBorder="1" applyAlignment="1">
      <alignment horizontal="center" vertical="center"/>
    </xf>
    <xf numFmtId="0" fontId="6" fillId="0" borderId="10" xfId="5" applyFont="1" applyBorder="1" applyAlignment="1">
      <alignment horizontal="center" vertical="center"/>
    </xf>
    <xf numFmtId="0" fontId="6" fillId="0" borderId="22" xfId="5" applyFont="1" applyBorder="1" applyAlignment="1">
      <alignment horizontal="center" vertical="center"/>
    </xf>
    <xf numFmtId="0" fontId="6" fillId="0" borderId="21" xfId="5" applyFont="1" applyBorder="1" applyAlignment="1">
      <alignment horizontal="center" vertical="center"/>
    </xf>
    <xf numFmtId="0" fontId="6" fillId="0" borderId="64" xfId="5" applyFont="1" applyBorder="1" applyAlignment="1">
      <alignment horizontal="center" vertical="center" wrapText="1"/>
    </xf>
    <xf numFmtId="0" fontId="6" fillId="0" borderId="28" xfId="5" applyFont="1" applyBorder="1" applyAlignment="1">
      <alignment horizontal="center" vertical="center" wrapText="1"/>
    </xf>
    <xf numFmtId="0" fontId="6" fillId="0" borderId="0" xfId="5" applyFont="1" applyAlignment="1">
      <alignment horizontal="center" vertical="center"/>
    </xf>
    <xf numFmtId="0" fontId="6" fillId="0" borderId="0" xfId="5" applyFont="1" applyBorder="1" applyAlignment="1">
      <alignment vertical="center"/>
    </xf>
    <xf numFmtId="0" fontId="2" fillId="0" borderId="30" xfId="5" applyFont="1" applyFill="1" applyBorder="1">
      <alignment vertical="center"/>
    </xf>
    <xf numFmtId="0" fontId="6" fillId="0" borderId="5" xfId="0" applyFont="1" applyBorder="1" applyAlignment="1">
      <alignment horizontal="center" vertical="center"/>
    </xf>
    <xf numFmtId="0" fontId="6" fillId="27" borderId="5" xfId="0" applyFont="1" applyFill="1" applyBorder="1" applyAlignment="1">
      <alignment horizontal="center" vertical="center"/>
    </xf>
    <xf numFmtId="0" fontId="6" fillId="0" borderId="5" xfId="5" applyFont="1" applyFill="1" applyBorder="1" applyAlignment="1">
      <alignment horizontal="center" vertical="center"/>
    </xf>
    <xf numFmtId="0" fontId="28" fillId="0" borderId="5" xfId="5" applyFont="1" applyFill="1" applyBorder="1" applyAlignment="1">
      <alignment horizontal="center" vertical="center"/>
    </xf>
    <xf numFmtId="0" fontId="10" fillId="0" borderId="5" xfId="5" applyFont="1" applyFill="1" applyBorder="1">
      <alignment vertical="center"/>
    </xf>
    <xf numFmtId="0" fontId="6" fillId="0" borderId="5" xfId="0" applyFont="1" applyBorder="1" applyAlignment="1">
      <alignment horizontal="center"/>
    </xf>
    <xf numFmtId="0" fontId="4" fillId="0" borderId="1" xfId="5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/>
    </xf>
    <xf numFmtId="0" fontId="6" fillId="0" borderId="36" xfId="5" applyFont="1" applyFill="1" applyBorder="1" applyAlignment="1">
      <alignment horizontal="center" vertical="center"/>
    </xf>
    <xf numFmtId="0" fontId="6" fillId="27" borderId="35" xfId="0" applyFont="1" applyFill="1" applyBorder="1" applyAlignment="1">
      <alignment horizontal="center" vertical="center"/>
    </xf>
    <xf numFmtId="0" fontId="6" fillId="0" borderId="42" xfId="5" applyFont="1" applyBorder="1" applyAlignment="1">
      <alignment horizontal="center" vertical="center"/>
    </xf>
    <xf numFmtId="0" fontId="6" fillId="0" borderId="60" xfId="5" applyFont="1" applyBorder="1" applyAlignment="1">
      <alignment horizontal="center" vertical="center"/>
    </xf>
    <xf numFmtId="0" fontId="4" fillId="30" borderId="41" xfId="5" applyFont="1" applyFill="1" applyBorder="1" applyAlignment="1">
      <alignment horizontal="center" vertical="center"/>
    </xf>
    <xf numFmtId="0" fontId="4" fillId="0" borderId="11" xfId="5" applyFont="1" applyBorder="1" applyAlignment="1">
      <alignment vertical="center" wrapText="1"/>
    </xf>
    <xf numFmtId="0" fontId="4" fillId="0" borderId="24" xfId="5" applyFont="1" applyBorder="1" applyAlignment="1">
      <alignment vertical="center" wrapText="1"/>
    </xf>
    <xf numFmtId="0" fontId="4" fillId="16" borderId="30" xfId="0" applyFont="1" applyFill="1" applyBorder="1" applyAlignment="1">
      <alignment horizontal="center" vertical="center"/>
    </xf>
    <xf numFmtId="0" fontId="4" fillId="16" borderId="20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6" borderId="31" xfId="0" applyFont="1" applyFill="1" applyBorder="1" applyAlignment="1">
      <alignment horizontal="center" vertical="center"/>
    </xf>
    <xf numFmtId="0" fontId="4" fillId="16" borderId="19" xfId="0" applyFont="1" applyFill="1" applyBorder="1" applyAlignment="1">
      <alignment horizontal="center" vertical="center"/>
    </xf>
    <xf numFmtId="0" fontId="6" fillId="0" borderId="68" xfId="5" applyFont="1" applyFill="1" applyBorder="1" applyAlignment="1">
      <alignment horizontal="center" vertical="center"/>
    </xf>
    <xf numFmtId="0" fontId="6" fillId="0" borderId="2" xfId="5" applyFont="1" applyFill="1" applyBorder="1" applyAlignment="1">
      <alignment horizontal="center" vertical="center"/>
    </xf>
    <xf numFmtId="0" fontId="6" fillId="27" borderId="2" xfId="0" applyFont="1" applyFill="1" applyBorder="1" applyAlignment="1">
      <alignment horizontal="center" vertical="center"/>
    </xf>
    <xf numFmtId="0" fontId="28" fillId="0" borderId="2" xfId="5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18" xfId="0" applyFont="1" applyBorder="1" applyAlignment="1">
      <alignment horizontal="center" vertical="center"/>
    </xf>
    <xf numFmtId="0" fontId="4" fillId="16" borderId="56" xfId="0" applyFont="1" applyFill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6" fillId="0" borderId="57" xfId="5" applyFont="1" applyFill="1" applyBorder="1" applyAlignment="1">
      <alignment horizontal="center" vertical="center"/>
    </xf>
    <xf numFmtId="0" fontId="4" fillId="16" borderId="57" xfId="0" applyFont="1" applyFill="1" applyBorder="1" applyAlignment="1">
      <alignment horizontal="center" vertical="center"/>
    </xf>
    <xf numFmtId="0" fontId="6" fillId="0" borderId="17" xfId="5" applyFont="1" applyFill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16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27" borderId="36" xfId="0" applyFont="1" applyFill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60" xfId="5" applyFont="1" applyBorder="1" applyAlignment="1">
      <alignment horizontal="center" vertical="center"/>
    </xf>
    <xf numFmtId="0" fontId="4" fillId="0" borderId="22" xfId="5" applyFont="1" applyBorder="1" applyAlignment="1">
      <alignment horizontal="center" vertical="center"/>
    </xf>
    <xf numFmtId="0" fontId="11" fillId="0" borderId="23" xfId="5" applyFont="1" applyBorder="1" applyAlignment="1">
      <alignment horizontal="center"/>
    </xf>
    <xf numFmtId="0" fontId="4" fillId="0" borderId="21" xfId="5" applyFont="1" applyBorder="1" applyAlignment="1">
      <alignment horizontal="center" vertical="center"/>
    </xf>
    <xf numFmtId="0" fontId="6" fillId="0" borderId="54" xfId="5" applyFont="1" applyBorder="1" applyAlignment="1">
      <alignment horizontal="center" vertical="center"/>
    </xf>
    <xf numFmtId="0" fontId="6" fillId="0" borderId="0" xfId="5" applyFont="1">
      <alignment vertical="center"/>
    </xf>
    <xf numFmtId="0" fontId="4" fillId="0" borderId="17" xfId="0" applyFont="1" applyFill="1" applyBorder="1" applyAlignment="1">
      <alignment horizontal="center" vertical="center"/>
    </xf>
    <xf numFmtId="0" fontId="27" fillId="0" borderId="19" xfId="5" applyFont="1" applyFill="1" applyBorder="1" applyAlignment="1">
      <alignment horizontal="center" vertical="center"/>
    </xf>
    <xf numFmtId="0" fontId="6" fillId="0" borderId="33" xfId="5" applyFont="1" applyFill="1" applyBorder="1" applyAlignment="1">
      <alignment horizontal="center"/>
    </xf>
    <xf numFmtId="0" fontId="8" fillId="0" borderId="0" xfId="5" applyFont="1" applyAlignment="1">
      <alignment horizontal="center" vertical="center"/>
    </xf>
    <xf numFmtId="0" fontId="28" fillId="0" borderId="31" xfId="5" applyFont="1" applyFill="1" applyBorder="1" applyAlignment="1">
      <alignment horizontal="center" vertical="center"/>
    </xf>
    <xf numFmtId="0" fontId="8" fillId="0" borderId="0" xfId="5" applyFont="1" applyBorder="1" applyAlignment="1">
      <alignment horizontal="center" vertical="center"/>
    </xf>
    <xf numFmtId="0" fontId="8" fillId="0" borderId="47" xfId="5" applyFont="1" applyBorder="1" applyAlignment="1">
      <alignment horizontal="center" vertical="center"/>
    </xf>
    <xf numFmtId="0" fontId="28" fillId="0" borderId="30" xfId="5" applyFont="1" applyFill="1" applyBorder="1" applyAlignment="1">
      <alignment horizontal="center"/>
    </xf>
    <xf numFmtId="0" fontId="28" fillId="0" borderId="1" xfId="5" applyFont="1" applyFill="1" applyBorder="1" applyAlignment="1">
      <alignment horizontal="center"/>
    </xf>
    <xf numFmtId="0" fontId="8" fillId="0" borderId="30" xfId="5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center" vertical="center"/>
    </xf>
    <xf numFmtId="0" fontId="29" fillId="0" borderId="30" xfId="5" applyFont="1" applyFill="1" applyBorder="1" applyAlignment="1">
      <alignment horizontal="center" vertical="center"/>
    </xf>
    <xf numFmtId="0" fontId="6" fillId="0" borderId="69" xfId="5" applyFont="1" applyFill="1" applyBorder="1" applyAlignment="1">
      <alignment horizontal="center" vertical="center"/>
    </xf>
    <xf numFmtId="0" fontId="4" fillId="0" borderId="49" xfId="5" applyFont="1" applyFill="1" applyBorder="1" applyAlignment="1">
      <alignment horizontal="center" vertical="center"/>
    </xf>
    <xf numFmtId="0" fontId="4" fillId="9" borderId="56" xfId="0" applyFont="1" applyFill="1" applyBorder="1" applyAlignment="1">
      <alignment horizontal="center" vertical="center"/>
    </xf>
    <xf numFmtId="0" fontId="6" fillId="0" borderId="37" xfId="5" applyFont="1" applyFill="1" applyBorder="1" applyAlignment="1">
      <alignment horizontal="center"/>
    </xf>
    <xf numFmtId="0" fontId="4" fillId="0" borderId="35" xfId="0" applyFont="1" applyFill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6" fillId="0" borderId="37" xfId="5" applyFont="1" applyFill="1" applyBorder="1" applyAlignment="1">
      <alignment horizontal="center" vertical="center"/>
    </xf>
    <xf numFmtId="0" fontId="6" fillId="0" borderId="50" xfId="5" applyFont="1" applyBorder="1" applyAlignment="1">
      <alignment horizontal="center" vertical="center"/>
    </xf>
    <xf numFmtId="0" fontId="4" fillId="0" borderId="23" xfId="5" applyFont="1" applyBorder="1" applyAlignment="1">
      <alignment horizontal="center" vertical="center"/>
    </xf>
    <xf numFmtId="0" fontId="11" fillId="0" borderId="11" xfId="5" applyFont="1" applyBorder="1" applyAlignment="1">
      <alignment horizontal="center"/>
    </xf>
    <xf numFmtId="0" fontId="11" fillId="0" borderId="10" xfId="5" applyFont="1" applyBorder="1" applyAlignment="1">
      <alignment horizontal="center"/>
    </xf>
    <xf numFmtId="0" fontId="11" fillId="0" borderId="24" xfId="5" applyFont="1" applyBorder="1" applyAlignment="1">
      <alignment horizontal="center"/>
    </xf>
    <xf numFmtId="0" fontId="6" fillId="0" borderId="8" xfId="5" applyFont="1" applyBorder="1" applyAlignment="1">
      <alignment horizontal="center" vertical="center"/>
    </xf>
    <xf numFmtId="0" fontId="6" fillId="0" borderId="23" xfId="5" applyFont="1" applyBorder="1" applyAlignment="1">
      <alignment horizontal="center" vertical="center"/>
    </xf>
    <xf numFmtId="0" fontId="6" fillId="0" borderId="63" xfId="5" applyFont="1" applyBorder="1" applyAlignment="1">
      <alignment horizontal="center" vertical="center"/>
    </xf>
    <xf numFmtId="0" fontId="14" fillId="29" borderId="1" xfId="0" applyFont="1" applyFill="1" applyBorder="1" applyAlignment="1">
      <alignment horizontal="center" vertical="center"/>
    </xf>
    <xf numFmtId="0" fontId="14" fillId="29" borderId="1" xfId="0" applyFont="1" applyFill="1" applyBorder="1" applyAlignment="1">
      <alignment horizontal="center"/>
    </xf>
    <xf numFmtId="0" fontId="14" fillId="29" borderId="1" xfId="0" quotePrefix="1" applyFont="1" applyFill="1" applyBorder="1" applyAlignment="1">
      <alignment horizontal="center"/>
    </xf>
    <xf numFmtId="0" fontId="14" fillId="29" borderId="1" xfId="0" applyFont="1" applyFill="1" applyBorder="1" applyAlignment="1"/>
    <xf numFmtId="0" fontId="14" fillId="0" borderId="0" xfId="0" applyFont="1" applyAlignment="1">
      <alignment vertical="center"/>
    </xf>
    <xf numFmtId="0" fontId="4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16" fillId="0" borderId="18" xfId="5" applyFont="1" applyFill="1" applyBorder="1" applyAlignment="1">
      <alignment horizontal="center"/>
    </xf>
    <xf numFmtId="0" fontId="16" fillId="0" borderId="3" xfId="5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16" fillId="0" borderId="3" xfId="5" applyFont="1" applyFill="1" applyBorder="1" applyAlignment="1">
      <alignment horizontal="center"/>
    </xf>
    <xf numFmtId="0" fontId="16" fillId="0" borderId="14" xfId="5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 vertical="center"/>
    </xf>
    <xf numFmtId="0" fontId="2" fillId="0" borderId="34" xfId="5" applyFill="1" applyBorder="1">
      <alignment vertical="center"/>
    </xf>
    <xf numFmtId="0" fontId="14" fillId="0" borderId="75" xfId="5" applyFont="1" applyFill="1" applyBorder="1" applyAlignment="1">
      <alignment horizontal="center" vertical="center"/>
    </xf>
    <xf numFmtId="0" fontId="16" fillId="0" borderId="75" xfId="5" applyFont="1" applyFill="1" applyBorder="1" applyAlignment="1">
      <alignment horizontal="center" vertical="center"/>
    </xf>
    <xf numFmtId="0" fontId="16" fillId="0" borderId="2" xfId="5" applyFont="1" applyFill="1" applyBorder="1" applyAlignment="1">
      <alignment horizontal="center" vertical="center"/>
    </xf>
    <xf numFmtId="0" fontId="16" fillId="0" borderId="68" xfId="5" applyFont="1" applyFill="1" applyBorder="1" applyAlignment="1">
      <alignment horizontal="center" vertical="center"/>
    </xf>
    <xf numFmtId="0" fontId="17" fillId="0" borderId="8" xfId="5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/>
    </xf>
    <xf numFmtId="0" fontId="16" fillId="0" borderId="45" xfId="5" applyFont="1" applyFill="1" applyBorder="1" applyAlignment="1">
      <alignment horizontal="center" vertical="center"/>
    </xf>
    <xf numFmtId="0" fontId="16" fillId="0" borderId="45" xfId="5" applyFont="1" applyFill="1" applyBorder="1" applyAlignment="1">
      <alignment horizontal="center"/>
    </xf>
    <xf numFmtId="0" fontId="4" fillId="0" borderId="19" xfId="0" applyFont="1" applyFill="1" applyBorder="1" applyAlignment="1">
      <alignment horizontal="center"/>
    </xf>
    <xf numFmtId="0" fontId="4" fillId="0" borderId="37" xfId="0" applyFont="1" applyFill="1" applyBorder="1" applyAlignment="1">
      <alignment horizontal="center"/>
    </xf>
    <xf numFmtId="0" fontId="4" fillId="0" borderId="35" xfId="0" applyFont="1" applyFill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9" xfId="0" applyFont="1" applyFill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2" fillId="0" borderId="35" xfId="5" applyFont="1" applyFill="1" applyBorder="1">
      <alignment vertical="center"/>
    </xf>
    <xf numFmtId="0" fontId="16" fillId="0" borderId="48" xfId="5" applyFont="1" applyFill="1" applyBorder="1" applyAlignment="1">
      <alignment horizontal="center"/>
    </xf>
    <xf numFmtId="0" fontId="4" fillId="0" borderId="39" xfId="0" applyFont="1" applyFill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14" fillId="0" borderId="29" xfId="5" applyFont="1" applyFill="1" applyBorder="1" applyAlignment="1">
      <alignment horizontal="center"/>
    </xf>
    <xf numFmtId="0" fontId="14" fillId="0" borderId="43" xfId="5" applyFont="1" applyFill="1" applyBorder="1" applyAlignment="1">
      <alignment horizontal="center"/>
    </xf>
    <xf numFmtId="0" fontId="2" fillId="0" borderId="43" xfId="5" applyFill="1" applyBorder="1" applyAlignment="1">
      <alignment horizontal="center" vertical="center"/>
    </xf>
    <xf numFmtId="0" fontId="4" fillId="0" borderId="43" xfId="0" applyFont="1" applyFill="1" applyBorder="1" applyAlignment="1">
      <alignment horizontal="center"/>
    </xf>
    <xf numFmtId="0" fontId="2" fillId="0" borderId="43" xfId="5" applyFill="1" applyBorder="1">
      <alignment vertical="center"/>
    </xf>
    <xf numFmtId="0" fontId="16" fillId="0" borderId="43" xfId="5" applyFont="1" applyFill="1" applyBorder="1" applyAlignment="1">
      <alignment horizontal="center" vertical="center"/>
    </xf>
    <xf numFmtId="0" fontId="14" fillId="0" borderId="28" xfId="5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0" fontId="4" fillId="0" borderId="48" xfId="0" applyFont="1" applyFill="1" applyBorder="1" applyAlignment="1">
      <alignment horizontal="center"/>
    </xf>
    <xf numFmtId="0" fontId="2" fillId="0" borderId="39" xfId="5" applyFont="1" applyFill="1" applyBorder="1" applyAlignment="1">
      <alignment horizontal="center" vertical="center"/>
    </xf>
    <xf numFmtId="0" fontId="2" fillId="0" borderId="39" xfId="5" applyFont="1" applyFill="1" applyBorder="1">
      <alignment vertical="center"/>
    </xf>
    <xf numFmtId="0" fontId="17" fillId="0" borderId="50" xfId="5" applyFont="1" applyFill="1" applyBorder="1" applyAlignment="1">
      <alignment horizontal="center" vertical="center"/>
    </xf>
    <xf numFmtId="0" fontId="21" fillId="0" borderId="19" xfId="5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2" fillId="0" borderId="19" xfId="5" applyFont="1" applyFill="1" applyBorder="1">
      <alignment vertical="center"/>
    </xf>
    <xf numFmtId="0" fontId="2" fillId="0" borderId="33" xfId="5" applyFont="1" applyFill="1" applyBorder="1">
      <alignment vertical="center"/>
    </xf>
    <xf numFmtId="0" fontId="6" fillId="0" borderId="37" xfId="0" applyFont="1" applyBorder="1" applyAlignment="1">
      <alignment horizontal="center" vertical="center"/>
    </xf>
    <xf numFmtId="0" fontId="4" fillId="23" borderId="35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3" borderId="34" xfId="0" applyFont="1" applyFill="1" applyBorder="1" applyAlignment="1">
      <alignment horizontal="center" vertical="center"/>
    </xf>
    <xf numFmtId="0" fontId="17" fillId="0" borderId="60" xfId="5" applyFont="1" applyFill="1" applyBorder="1" applyAlignment="1">
      <alignment horizontal="center" vertical="center"/>
    </xf>
    <xf numFmtId="0" fontId="17" fillId="0" borderId="42" xfId="5" applyFont="1" applyFill="1" applyBorder="1" applyAlignment="1">
      <alignment horizontal="center" vertical="center"/>
    </xf>
    <xf numFmtId="0" fontId="17" fillId="0" borderId="41" xfId="5" applyFont="1" applyFill="1" applyBorder="1" applyAlignment="1">
      <alignment horizontal="center" vertical="center"/>
    </xf>
    <xf numFmtId="0" fontId="14" fillId="0" borderId="3" xfId="5" applyFont="1" applyFill="1" applyBorder="1" applyAlignment="1">
      <alignment horizontal="center"/>
    </xf>
    <xf numFmtId="0" fontId="4" fillId="9" borderId="37" xfId="0" applyFont="1" applyFill="1" applyBorder="1" applyAlignment="1">
      <alignment horizontal="center" vertical="center"/>
    </xf>
    <xf numFmtId="0" fontId="4" fillId="9" borderId="35" xfId="0" applyFont="1" applyFill="1" applyBorder="1" applyAlignment="1">
      <alignment horizontal="center" vertical="center"/>
    </xf>
    <xf numFmtId="0" fontId="4" fillId="9" borderId="34" xfId="0" applyFont="1" applyFill="1" applyBorder="1" applyAlignment="1">
      <alignment horizontal="center" vertical="center"/>
    </xf>
    <xf numFmtId="0" fontId="17" fillId="0" borderId="21" xfId="5" applyFont="1" applyFill="1" applyBorder="1" applyAlignment="1">
      <alignment horizontal="center" vertical="center"/>
    </xf>
    <xf numFmtId="0" fontId="16" fillId="0" borderId="20" xfId="5" applyFont="1" applyBorder="1" applyAlignment="1">
      <alignment horizontal="center" vertical="center"/>
    </xf>
    <xf numFmtId="0" fontId="2" fillId="0" borderId="59" xfId="5" applyFill="1" applyBorder="1">
      <alignment vertical="center"/>
    </xf>
    <xf numFmtId="0" fontId="16" fillId="0" borderId="19" xfId="5" applyFont="1" applyBorder="1" applyAlignment="1">
      <alignment horizontal="center" vertical="center"/>
    </xf>
    <xf numFmtId="0" fontId="16" fillId="0" borderId="33" xfId="5" applyFont="1" applyFill="1" applyBorder="1">
      <alignment vertical="center"/>
    </xf>
    <xf numFmtId="0" fontId="2" fillId="0" borderId="42" xfId="5" applyFill="1" applyBorder="1">
      <alignment vertical="center"/>
    </xf>
    <xf numFmtId="0" fontId="4" fillId="8" borderId="37" xfId="0" applyFont="1" applyFill="1" applyBorder="1" applyAlignment="1">
      <alignment horizontal="center" vertical="center"/>
    </xf>
    <xf numFmtId="0" fontId="4" fillId="8" borderId="35" xfId="0" applyFont="1" applyFill="1" applyBorder="1" applyAlignment="1">
      <alignment horizontal="center" vertical="center"/>
    </xf>
    <xf numFmtId="0" fontId="4" fillId="19" borderId="35" xfId="0" applyFont="1" applyFill="1" applyBorder="1" applyAlignment="1">
      <alignment horizontal="center" vertical="center"/>
    </xf>
    <xf numFmtId="0" fontId="16" fillId="0" borderId="0" xfId="5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/>
    </xf>
    <xf numFmtId="0" fontId="4" fillId="16" borderId="37" xfId="0" applyFont="1" applyFill="1" applyBorder="1" applyAlignment="1">
      <alignment horizontal="center" vertical="center"/>
    </xf>
    <xf numFmtId="0" fontId="22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30" xfId="5" applyFont="1" applyBorder="1" applyAlignment="1">
      <alignment horizontal="center" vertical="center"/>
    </xf>
    <xf numFmtId="0" fontId="4" fillId="0" borderId="49" xfId="5" applyFont="1" applyBorder="1" applyAlignment="1">
      <alignment horizontal="center" vertical="center"/>
    </xf>
    <xf numFmtId="0" fontId="4" fillId="0" borderId="36" xfId="5" applyFont="1" applyFill="1" applyBorder="1" applyAlignment="1">
      <alignment horizontal="center" vertical="center"/>
    </xf>
    <xf numFmtId="0" fontId="4" fillId="0" borderId="28" xfId="5" applyFont="1" applyBorder="1" applyAlignment="1">
      <alignment horizontal="center" vertical="center" wrapText="1"/>
    </xf>
    <xf numFmtId="0" fontId="4" fillId="0" borderId="29" xfId="5" applyFont="1" applyBorder="1" applyAlignment="1">
      <alignment horizontal="center" vertical="center" wrapText="1"/>
    </xf>
    <xf numFmtId="0" fontId="9" fillId="0" borderId="33" xfId="5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0" xfId="5" applyFont="1" applyBorder="1" applyAlignment="1">
      <alignment horizontal="center" vertical="center"/>
    </xf>
    <xf numFmtId="0" fontId="4" fillId="0" borderId="36" xfId="5" applyFont="1" applyBorder="1" applyAlignment="1">
      <alignment horizontal="center" vertical="center"/>
    </xf>
    <xf numFmtId="0" fontId="4" fillId="0" borderId="40" xfId="5" applyFont="1" applyBorder="1" applyAlignment="1">
      <alignment horizontal="center" vertical="center"/>
    </xf>
    <xf numFmtId="0" fontId="4" fillId="0" borderId="49" xfId="5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4" xfId="5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66" xfId="5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4" fillId="0" borderId="30" xfId="5" applyFont="1" applyBorder="1">
      <alignment vertical="center"/>
    </xf>
    <xf numFmtId="0" fontId="4" fillId="0" borderId="31" xfId="5" applyFont="1" applyBorder="1">
      <alignment vertical="center"/>
    </xf>
    <xf numFmtId="0" fontId="6" fillId="9" borderId="33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6" fillId="0" borderId="0" xfId="6" applyFont="1" applyBorder="1">
      <alignment vertical="center"/>
    </xf>
    <xf numFmtId="0" fontId="16" fillId="0" borderId="0" xfId="6" applyFont="1">
      <alignment vertical="center"/>
    </xf>
    <xf numFmtId="0" fontId="19" fillId="0" borderId="10" xfId="6" applyFont="1" applyBorder="1" applyAlignment="1">
      <alignment horizontal="center" vertical="center"/>
    </xf>
    <xf numFmtId="0" fontId="19" fillId="0" borderId="25" xfId="6" applyFont="1" applyBorder="1" applyAlignment="1">
      <alignment horizontal="center" vertical="center"/>
    </xf>
    <xf numFmtId="0" fontId="19" fillId="0" borderId="8" xfId="6" applyFont="1" applyBorder="1" applyAlignment="1">
      <alignment horizontal="center" vertical="center"/>
    </xf>
    <xf numFmtId="0" fontId="19" fillId="0" borderId="0" xfId="6" applyFont="1" applyBorder="1">
      <alignment vertical="center"/>
    </xf>
    <xf numFmtId="0" fontId="19" fillId="0" borderId="0" xfId="6" applyFont="1">
      <alignment vertical="center"/>
    </xf>
    <xf numFmtId="0" fontId="14" fillId="32" borderId="68" xfId="6" applyFont="1" applyFill="1" applyBorder="1" applyAlignment="1">
      <alignment horizontal="center" vertical="center"/>
    </xf>
    <xf numFmtId="0" fontId="14" fillId="32" borderId="2" xfId="6" applyFont="1" applyFill="1" applyBorder="1" applyAlignment="1">
      <alignment horizontal="center" vertical="center"/>
    </xf>
    <xf numFmtId="0" fontId="14" fillId="0" borderId="0" xfId="6" applyFont="1">
      <alignment vertical="center"/>
    </xf>
    <xf numFmtId="0" fontId="14" fillId="0" borderId="1" xfId="6" applyFont="1" applyBorder="1" applyAlignment="1">
      <alignment horizontal="center" vertical="center"/>
    </xf>
    <xf numFmtId="0" fontId="14" fillId="0" borderId="1" xfId="6" quotePrefix="1" applyFont="1" applyBorder="1" applyAlignment="1">
      <alignment horizontal="center" vertical="center"/>
    </xf>
    <xf numFmtId="0" fontId="17" fillId="0" borderId="0" xfId="6" applyFont="1" applyBorder="1" applyAlignment="1">
      <alignment horizontal="left" vertical="center" wrapText="1"/>
    </xf>
    <xf numFmtId="0" fontId="35" fillId="32" borderId="2" xfId="6" applyFont="1" applyFill="1" applyBorder="1" applyAlignment="1">
      <alignment horizontal="center" vertical="center"/>
    </xf>
    <xf numFmtId="0" fontId="14" fillId="0" borderId="1" xfId="6" applyFont="1" applyBorder="1" applyAlignment="1">
      <alignment horizontal="center" vertical="center" wrapText="1"/>
    </xf>
    <xf numFmtId="0" fontId="14" fillId="0" borderId="0" xfId="6" applyFont="1" applyBorder="1" applyAlignment="1">
      <alignment horizontal="left" vertical="center" wrapText="1"/>
    </xf>
    <xf numFmtId="0" fontId="14" fillId="32" borderId="18" xfId="6" applyFont="1" applyFill="1" applyBorder="1" applyAlignment="1">
      <alignment horizontal="center" vertical="center"/>
    </xf>
    <xf numFmtId="0" fontId="14" fillId="0" borderId="19" xfId="6" applyFont="1" applyBorder="1" applyAlignment="1">
      <alignment horizontal="center" vertical="center" wrapText="1"/>
    </xf>
    <xf numFmtId="0" fontId="24" fillId="32" borderId="68" xfId="6" applyFont="1" applyFill="1" applyBorder="1" applyAlignment="1">
      <alignment horizontal="center" vertical="center"/>
    </xf>
    <xf numFmtId="0" fontId="16" fillId="32" borderId="35" xfId="6" applyFont="1" applyFill="1" applyBorder="1" applyAlignment="1">
      <alignment horizontal="center" vertical="center" wrapText="1"/>
    </xf>
    <xf numFmtId="0" fontId="16" fillId="0" borderId="35" xfId="6" applyFont="1" applyBorder="1" applyAlignment="1">
      <alignment horizontal="center" vertical="center" wrapText="1"/>
    </xf>
    <xf numFmtId="0" fontId="24" fillId="32" borderId="18" xfId="6" applyFont="1" applyFill="1" applyBorder="1" applyAlignment="1">
      <alignment horizontal="center" vertical="center" wrapText="1"/>
    </xf>
    <xf numFmtId="0" fontId="14" fillId="32" borderId="19" xfId="6" applyFont="1" applyFill="1" applyBorder="1" applyAlignment="1">
      <alignment horizontal="center" vertical="center" wrapText="1"/>
    </xf>
    <xf numFmtId="0" fontId="16" fillId="0" borderId="19" xfId="6" applyFont="1" applyBorder="1" applyAlignment="1">
      <alignment horizontal="center" vertical="center" wrapText="1"/>
    </xf>
    <xf numFmtId="0" fontId="16" fillId="0" borderId="19" xfId="6" applyFont="1" applyFill="1" applyBorder="1" applyAlignment="1">
      <alignment horizontal="center" vertical="center" wrapText="1"/>
    </xf>
    <xf numFmtId="0" fontId="35" fillId="0" borderId="68" xfId="6" applyFont="1" applyFill="1" applyBorder="1" applyAlignment="1">
      <alignment horizontal="center" vertical="center" wrapText="1"/>
    </xf>
    <xf numFmtId="0" fontId="35" fillId="0" borderId="18" xfId="6" applyFont="1" applyFill="1" applyBorder="1" applyAlignment="1">
      <alignment horizontal="center" vertical="center" wrapText="1"/>
    </xf>
    <xf numFmtId="0" fontId="35" fillId="32" borderId="68" xfId="6" applyFont="1" applyFill="1" applyBorder="1" applyAlignment="1">
      <alignment horizontal="center" vertical="center" wrapText="1"/>
    </xf>
    <xf numFmtId="0" fontId="14" fillId="32" borderId="35" xfId="6" applyFont="1" applyFill="1" applyBorder="1" applyAlignment="1">
      <alignment horizontal="center" vertical="center" wrapText="1"/>
    </xf>
    <xf numFmtId="0" fontId="14" fillId="0" borderId="35" xfId="6" applyFont="1" applyBorder="1" applyAlignment="1">
      <alignment horizontal="center" vertical="center" wrapText="1"/>
    </xf>
    <xf numFmtId="0" fontId="14" fillId="32" borderId="1" xfId="6" applyFont="1" applyFill="1" applyBorder="1" applyAlignment="1">
      <alignment horizontal="center" vertical="center" wrapText="1"/>
    </xf>
    <xf numFmtId="0" fontId="35" fillId="32" borderId="18" xfId="6" applyFont="1" applyFill="1" applyBorder="1" applyAlignment="1">
      <alignment horizontal="center" vertical="center" wrapText="1"/>
    </xf>
    <xf numFmtId="0" fontId="35" fillId="32" borderId="19" xfId="6" applyFont="1" applyFill="1" applyBorder="1" applyAlignment="1">
      <alignment horizontal="center" vertical="center"/>
    </xf>
    <xf numFmtId="0" fontId="24" fillId="32" borderId="9" xfId="6" applyFont="1" applyFill="1" applyBorder="1" applyAlignment="1">
      <alignment horizontal="center" vertical="center"/>
    </xf>
    <xf numFmtId="0" fontId="16" fillId="32" borderId="10" xfId="6" applyFont="1" applyFill="1" applyBorder="1" applyAlignment="1">
      <alignment horizontal="center" vertical="center"/>
    </xf>
    <xf numFmtId="0" fontId="16" fillId="0" borderId="10" xfId="6" applyFont="1" applyBorder="1" applyAlignment="1">
      <alignment horizontal="center" vertical="center"/>
    </xf>
    <xf numFmtId="0" fontId="14" fillId="32" borderId="10" xfId="6" applyFont="1" applyFill="1" applyBorder="1" applyAlignment="1">
      <alignment horizontal="center" vertical="center" wrapText="1"/>
    </xf>
    <xf numFmtId="0" fontId="14" fillId="0" borderId="10" xfId="6" applyFont="1" applyBorder="1" applyAlignment="1">
      <alignment horizontal="center" vertical="center"/>
    </xf>
    <xf numFmtId="0" fontId="16" fillId="0" borderId="11" xfId="6" applyFont="1" applyBorder="1" applyAlignment="1">
      <alignment vertical="center" wrapText="1"/>
    </xf>
    <xf numFmtId="0" fontId="35" fillId="32" borderId="14" xfId="6" applyFont="1" applyFill="1" applyBorder="1" applyAlignment="1">
      <alignment horizontal="center" vertical="center"/>
    </xf>
    <xf numFmtId="0" fontId="14" fillId="0" borderId="3" xfId="6" applyFont="1" applyBorder="1" applyAlignment="1">
      <alignment horizontal="center" vertical="center" wrapText="1"/>
    </xf>
    <xf numFmtId="0" fontId="14" fillId="0" borderId="3" xfId="6" applyFont="1" applyFill="1" applyBorder="1" applyAlignment="1">
      <alignment horizontal="center" vertical="center" wrapText="1"/>
    </xf>
    <xf numFmtId="0" fontId="14" fillId="0" borderId="3" xfId="6" applyFont="1" applyFill="1" applyBorder="1" applyAlignment="1">
      <alignment horizontal="center" vertical="center"/>
    </xf>
    <xf numFmtId="0" fontId="14" fillId="0" borderId="3" xfId="6" applyFont="1" applyBorder="1" applyAlignment="1">
      <alignment horizontal="center" vertical="center"/>
    </xf>
    <xf numFmtId="0" fontId="16" fillId="0" borderId="15" xfId="6" applyFont="1" applyBorder="1" applyAlignment="1">
      <alignment vertical="center" wrapText="1"/>
    </xf>
    <xf numFmtId="0" fontId="14" fillId="0" borderId="1" xfId="6" applyFont="1" applyFill="1" applyBorder="1" applyAlignment="1">
      <alignment horizontal="center" vertical="center"/>
    </xf>
    <xf numFmtId="0" fontId="16" fillId="0" borderId="31" xfId="6" applyFont="1" applyBorder="1" applyAlignment="1">
      <alignment vertical="center" wrapText="1"/>
    </xf>
    <xf numFmtId="0" fontId="14" fillId="0" borderId="1" xfId="6" applyFont="1" applyFill="1" applyBorder="1" applyAlignment="1">
      <alignment horizontal="center" vertical="center" wrapText="1"/>
    </xf>
    <xf numFmtId="0" fontId="14" fillId="0" borderId="31" xfId="6" applyFont="1" applyBorder="1" applyAlignment="1">
      <alignment vertical="center" wrapText="1"/>
    </xf>
    <xf numFmtId="0" fontId="16" fillId="0" borderId="31" xfId="6" applyFont="1" applyBorder="1" applyAlignment="1">
      <alignment horizontal="center" vertical="center" wrapText="1"/>
    </xf>
    <xf numFmtId="0" fontId="14" fillId="32" borderId="1" xfId="6" applyFont="1" applyFill="1" applyBorder="1" applyAlignment="1">
      <alignment horizontal="center" vertical="center"/>
    </xf>
    <xf numFmtId="20" fontId="16" fillId="0" borderId="31" xfId="6" applyNumberFormat="1" applyFont="1" applyBorder="1" applyAlignment="1">
      <alignment horizontal="center" vertical="center" wrapText="1"/>
    </xf>
    <xf numFmtId="0" fontId="35" fillId="32" borderId="18" xfId="6" applyFont="1" applyFill="1" applyBorder="1" applyAlignment="1">
      <alignment horizontal="center" vertical="top" wrapText="1"/>
    </xf>
    <xf numFmtId="0" fontId="14" fillId="0" borderId="19" xfId="6" applyFont="1" applyFill="1" applyBorder="1" applyAlignment="1">
      <alignment horizontal="center" vertical="center"/>
    </xf>
    <xf numFmtId="0" fontId="14" fillId="0" borderId="19" xfId="6" applyFont="1" applyBorder="1" applyAlignment="1">
      <alignment horizontal="center" vertical="center"/>
    </xf>
    <xf numFmtId="0" fontId="16" fillId="0" borderId="20" xfId="6" applyFont="1" applyBorder="1" applyAlignment="1">
      <alignment vertical="center" wrapText="1"/>
    </xf>
    <xf numFmtId="0" fontId="16" fillId="0" borderId="0" xfId="6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8" borderId="5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16" fillId="0" borderId="34" xfId="5" applyFont="1" applyFill="1" applyBorder="1" applyAlignment="1">
      <alignment horizontal="center" vertical="center" wrapText="1"/>
    </xf>
    <xf numFmtId="0" fontId="16" fillId="0" borderId="33" xfId="5" applyFont="1" applyFill="1" applyBorder="1" applyAlignment="1">
      <alignment horizontal="center" vertical="center" wrapText="1"/>
    </xf>
    <xf numFmtId="0" fontId="16" fillId="0" borderId="35" xfId="5" applyFont="1" applyFill="1" applyBorder="1" applyAlignment="1">
      <alignment horizontal="center" vertical="center" wrapText="1"/>
    </xf>
    <xf numFmtId="0" fontId="16" fillId="0" borderId="19" xfId="5" applyFont="1" applyFill="1" applyBorder="1" applyAlignment="1">
      <alignment horizontal="center" vertical="center" wrapText="1"/>
    </xf>
    <xf numFmtId="0" fontId="17" fillId="0" borderId="41" xfId="5" applyFont="1" applyFill="1" applyBorder="1" applyAlignment="1">
      <alignment horizontal="center" vertical="center"/>
    </xf>
    <xf numFmtId="0" fontId="17" fillId="0" borderId="42" xfId="5" applyFont="1" applyFill="1" applyBorder="1" applyAlignment="1">
      <alignment horizontal="center" vertical="center"/>
    </xf>
    <xf numFmtId="0" fontId="4" fillId="0" borderId="21" xfId="5" applyFont="1" applyFill="1" applyBorder="1" applyAlignment="1">
      <alignment horizontal="center" vertical="center"/>
    </xf>
    <xf numFmtId="0" fontId="4" fillId="0" borderId="22" xfId="5" applyFont="1" applyFill="1" applyBorder="1" applyAlignment="1">
      <alignment horizontal="center" vertical="center"/>
    </xf>
    <xf numFmtId="0" fontId="4" fillId="0" borderId="23" xfId="5" applyFont="1" applyFill="1" applyBorder="1" applyAlignment="1">
      <alignment horizontal="center" vertical="center"/>
    </xf>
    <xf numFmtId="0" fontId="16" fillId="0" borderId="21" xfId="5" applyFont="1" applyFill="1" applyBorder="1" applyAlignment="1">
      <alignment horizontal="center" vertical="center" wrapText="1"/>
    </xf>
    <xf numFmtId="0" fontId="16" fillId="0" borderId="28" xfId="5" applyFont="1" applyFill="1" applyBorder="1" applyAlignment="1">
      <alignment horizontal="center" vertical="center" wrapText="1"/>
    </xf>
    <xf numFmtId="0" fontId="16" fillId="0" borderId="23" xfId="5" applyFont="1" applyFill="1" applyBorder="1" applyAlignment="1">
      <alignment horizontal="center" vertical="center" wrapText="1"/>
    </xf>
    <xf numFmtId="0" fontId="16" fillId="0" borderId="29" xfId="5" applyFont="1" applyFill="1" applyBorder="1" applyAlignment="1">
      <alignment horizontal="center" vertical="center" wrapText="1"/>
    </xf>
    <xf numFmtId="0" fontId="16" fillId="0" borderId="30" xfId="5" applyFont="1" applyFill="1" applyBorder="1" applyAlignment="1">
      <alignment horizontal="center" vertical="center" wrapText="1"/>
    </xf>
    <xf numFmtId="0" fontId="16" fillId="0" borderId="38" xfId="5" applyFont="1" applyFill="1" applyBorder="1" applyAlignment="1">
      <alignment horizontal="center" vertical="center" wrapText="1"/>
    </xf>
    <xf numFmtId="0" fontId="16" fillId="0" borderId="1" xfId="5" applyFont="1" applyFill="1" applyBorder="1" applyAlignment="1">
      <alignment horizontal="center" vertical="center" wrapText="1"/>
    </xf>
    <xf numFmtId="0" fontId="16" fillId="0" borderId="39" xfId="5" applyFont="1" applyFill="1" applyBorder="1" applyAlignment="1">
      <alignment horizontal="center" vertical="center" wrapText="1"/>
    </xf>
    <xf numFmtId="0" fontId="16" fillId="0" borderId="44" xfId="5" applyFont="1" applyFill="1" applyBorder="1" applyAlignment="1">
      <alignment horizontal="center" vertical="center" wrapText="1"/>
    </xf>
    <xf numFmtId="0" fontId="16" fillId="0" borderId="22" xfId="5" applyFont="1" applyFill="1" applyBorder="1" applyAlignment="1">
      <alignment horizontal="center" vertical="center" wrapText="1"/>
    </xf>
    <xf numFmtId="0" fontId="16" fillId="0" borderId="43" xfId="5" applyFont="1" applyFill="1" applyBorder="1" applyAlignment="1">
      <alignment horizontal="center" vertical="center" wrapText="1"/>
    </xf>
    <xf numFmtId="0" fontId="16" fillId="0" borderId="45" xfId="5" applyFont="1" applyFill="1" applyBorder="1" applyAlignment="1">
      <alignment horizontal="center" vertical="center" wrapText="1"/>
    </xf>
    <xf numFmtId="0" fontId="17" fillId="0" borderId="47" xfId="5" applyFont="1" applyFill="1" applyBorder="1" applyAlignment="1">
      <alignment horizontal="center" vertical="center"/>
    </xf>
    <xf numFmtId="0" fontId="17" fillId="0" borderId="0" xfId="5" applyFont="1" applyFill="1" applyBorder="1" applyAlignment="1">
      <alignment horizontal="center" vertical="center"/>
    </xf>
    <xf numFmtId="0" fontId="17" fillId="0" borderId="49" xfId="5" applyFont="1" applyFill="1" applyBorder="1" applyAlignment="1">
      <alignment horizontal="center" vertical="center"/>
    </xf>
    <xf numFmtId="0" fontId="16" fillId="0" borderId="27" xfId="5" applyFont="1" applyFill="1" applyBorder="1" applyAlignment="1">
      <alignment horizontal="center" vertical="center" wrapText="1"/>
    </xf>
    <xf numFmtId="0" fontId="16" fillId="0" borderId="66" xfId="5" applyFont="1" applyFill="1" applyBorder="1" applyAlignment="1">
      <alignment horizontal="center" vertical="center" wrapText="1"/>
    </xf>
    <xf numFmtId="0" fontId="16" fillId="0" borderId="64" xfId="5" applyFont="1" applyFill="1" applyBorder="1" applyAlignment="1">
      <alignment horizontal="center" vertical="center" wrapText="1"/>
    </xf>
    <xf numFmtId="0" fontId="16" fillId="0" borderId="65" xfId="5" applyFont="1" applyFill="1" applyBorder="1" applyAlignment="1">
      <alignment horizontal="center" vertical="center" wrapText="1"/>
    </xf>
    <xf numFmtId="0" fontId="16" fillId="0" borderId="40" xfId="5" applyFont="1" applyFill="1" applyBorder="1" applyAlignment="1">
      <alignment horizontal="center" vertical="center" wrapText="1"/>
    </xf>
    <xf numFmtId="0" fontId="16" fillId="0" borderId="74" xfId="5" applyFont="1" applyFill="1" applyBorder="1" applyAlignment="1">
      <alignment horizontal="center" vertical="center" wrapText="1"/>
    </xf>
    <xf numFmtId="0" fontId="17" fillId="0" borderId="24" xfId="5" applyFont="1" applyFill="1" applyBorder="1" applyAlignment="1">
      <alignment horizontal="center" vertical="center"/>
    </xf>
    <xf numFmtId="0" fontId="17" fillId="0" borderId="45" xfId="5" applyFont="1" applyFill="1" applyBorder="1" applyAlignment="1">
      <alignment horizontal="center" vertical="center"/>
    </xf>
    <xf numFmtId="0" fontId="17" fillId="0" borderId="10" xfId="5" applyFont="1" applyFill="1" applyBorder="1" applyAlignment="1">
      <alignment horizontal="center" vertical="center"/>
    </xf>
    <xf numFmtId="0" fontId="17" fillId="0" borderId="55" xfId="5" applyFont="1" applyFill="1" applyBorder="1" applyAlignment="1">
      <alignment horizontal="center" vertical="center"/>
    </xf>
    <xf numFmtId="0" fontId="17" fillId="0" borderId="59" xfId="5" applyFont="1" applyFill="1" applyBorder="1" applyAlignment="1">
      <alignment horizontal="center" vertical="center"/>
    </xf>
    <xf numFmtId="0" fontId="16" fillId="0" borderId="50" xfId="5" applyFont="1" applyFill="1" applyBorder="1" applyAlignment="1">
      <alignment horizontal="center" vertical="center"/>
    </xf>
    <xf numFmtId="0" fontId="16" fillId="0" borderId="54" xfId="5" applyFont="1" applyFill="1" applyBorder="1" applyAlignment="1">
      <alignment horizontal="center" vertical="center"/>
    </xf>
    <xf numFmtId="0" fontId="16" fillId="0" borderId="41" xfId="5" applyFont="1" applyFill="1" applyBorder="1" applyAlignment="1">
      <alignment horizontal="center" vertical="center"/>
    </xf>
    <xf numFmtId="0" fontId="16" fillId="0" borderId="47" xfId="5" applyFont="1" applyFill="1" applyBorder="1" applyAlignment="1">
      <alignment horizontal="center" vertical="center"/>
    </xf>
    <xf numFmtId="0" fontId="16" fillId="0" borderId="55" xfId="5" applyFont="1" applyFill="1" applyBorder="1" applyAlignment="1">
      <alignment horizontal="center" vertical="center"/>
    </xf>
    <xf numFmtId="0" fontId="16" fillId="0" borderId="50" xfId="5" applyFont="1" applyFill="1" applyBorder="1" applyAlignment="1">
      <alignment horizontal="center" vertical="center" wrapText="1"/>
    </xf>
    <xf numFmtId="0" fontId="16" fillId="0" borderId="52" xfId="5" applyFont="1" applyFill="1" applyBorder="1" applyAlignment="1">
      <alignment horizontal="center" vertical="center" wrapText="1"/>
    </xf>
    <xf numFmtId="0" fontId="16" fillId="0" borderId="47" xfId="5" applyFont="1" applyFill="1" applyBorder="1" applyAlignment="1">
      <alignment horizontal="center" vertical="center" wrapText="1"/>
    </xf>
    <xf numFmtId="0" fontId="16" fillId="0" borderId="54" xfId="5" applyFont="1" applyFill="1" applyBorder="1" applyAlignment="1">
      <alignment horizontal="center" vertical="center" wrapText="1"/>
    </xf>
    <xf numFmtId="0" fontId="16" fillId="0" borderId="41" xfId="5" applyFont="1" applyFill="1" applyBorder="1" applyAlignment="1">
      <alignment horizontal="center" vertical="center" wrapText="1"/>
    </xf>
    <xf numFmtId="0" fontId="16" fillId="0" borderId="55" xfId="5" applyFont="1" applyFill="1" applyBorder="1" applyAlignment="1">
      <alignment horizontal="center" vertical="center" wrapText="1"/>
    </xf>
    <xf numFmtId="0" fontId="16" fillId="0" borderId="52" xfId="5" applyFont="1" applyFill="1" applyBorder="1" applyAlignment="1">
      <alignment horizontal="center" vertical="center"/>
    </xf>
    <xf numFmtId="0" fontId="16" fillId="0" borderId="7" xfId="5" applyFont="1" applyFill="1" applyBorder="1" applyAlignment="1">
      <alignment horizontal="center" vertical="center" wrapText="1"/>
    </xf>
    <xf numFmtId="0" fontId="16" fillId="0" borderId="51" xfId="5" applyFont="1" applyFill="1" applyBorder="1" applyAlignment="1">
      <alignment horizontal="center" vertical="center" wrapText="1"/>
    </xf>
    <xf numFmtId="0" fontId="16" fillId="0" borderId="12" xfId="5" applyFont="1" applyFill="1" applyBorder="1" applyAlignment="1">
      <alignment horizontal="center" vertical="center" wrapText="1"/>
    </xf>
    <xf numFmtId="0" fontId="16" fillId="0" borderId="32" xfId="5" applyFont="1" applyFill="1" applyBorder="1" applyAlignment="1">
      <alignment horizontal="center" vertical="center" wrapText="1"/>
    </xf>
    <xf numFmtId="0" fontId="16" fillId="0" borderId="16" xfId="5" applyFont="1" applyFill="1" applyBorder="1" applyAlignment="1">
      <alignment horizontal="center" vertical="center" wrapText="1"/>
    </xf>
    <xf numFmtId="0" fontId="16" fillId="0" borderId="36" xfId="5" applyFont="1" applyFill="1" applyBorder="1" applyAlignment="1">
      <alignment horizontal="center" vertical="center" wrapText="1"/>
    </xf>
    <xf numFmtId="0" fontId="16" fillId="0" borderId="5" xfId="5" applyFont="1" applyFill="1" applyBorder="1" applyAlignment="1">
      <alignment horizontal="center" vertical="center" wrapText="1"/>
    </xf>
    <xf numFmtId="0" fontId="16" fillId="0" borderId="46" xfId="5" applyFont="1" applyFill="1" applyBorder="1" applyAlignment="1">
      <alignment horizontal="center" vertical="center" wrapText="1"/>
    </xf>
    <xf numFmtId="0" fontId="16" fillId="0" borderId="50" xfId="5" applyFont="1" applyBorder="1" applyAlignment="1">
      <alignment horizontal="center" vertical="center"/>
    </xf>
    <xf numFmtId="0" fontId="16" fillId="0" borderId="52" xfId="5" applyFont="1" applyBorder="1" applyAlignment="1">
      <alignment horizontal="center" vertical="center"/>
    </xf>
    <xf numFmtId="0" fontId="16" fillId="0" borderId="54" xfId="5" applyFont="1" applyBorder="1" applyAlignment="1">
      <alignment horizontal="center" vertical="center"/>
    </xf>
    <xf numFmtId="0" fontId="4" fillId="0" borderId="30" xfId="5" applyFont="1" applyBorder="1" applyAlignment="1">
      <alignment horizontal="center" vertical="center"/>
    </xf>
    <xf numFmtId="0" fontId="4" fillId="0" borderId="33" xfId="5" applyFont="1" applyBorder="1" applyAlignment="1">
      <alignment horizontal="center" vertical="center"/>
    </xf>
    <xf numFmtId="0" fontId="4" fillId="0" borderId="7" xfId="5" applyFont="1" applyBorder="1" applyAlignment="1">
      <alignment horizontal="center" vertical="center"/>
    </xf>
    <xf numFmtId="0" fontId="4" fillId="0" borderId="16" xfId="5" applyFont="1" applyBorder="1" applyAlignment="1">
      <alignment horizontal="center" vertical="center"/>
    </xf>
    <xf numFmtId="0" fontId="4" fillId="31" borderId="9" xfId="5" applyFont="1" applyFill="1" applyBorder="1" applyAlignment="1">
      <alignment horizontal="center" vertical="center"/>
    </xf>
    <xf numFmtId="0" fontId="4" fillId="31" borderId="10" xfId="5" applyFont="1" applyFill="1" applyBorder="1" applyAlignment="1">
      <alignment horizontal="center" vertical="center"/>
    </xf>
    <xf numFmtId="0" fontId="4" fillId="31" borderId="11" xfId="5" applyFont="1" applyFill="1" applyBorder="1" applyAlignment="1">
      <alignment horizontal="center" vertical="center"/>
    </xf>
    <xf numFmtId="0" fontId="4" fillId="0" borderId="41" xfId="5" applyFont="1" applyBorder="1" applyAlignment="1">
      <alignment horizontal="center" vertical="center" wrapText="1"/>
    </xf>
    <xf numFmtId="0" fontId="4" fillId="0" borderId="63" xfId="5" applyFont="1" applyBorder="1" applyAlignment="1">
      <alignment horizontal="center" vertical="center" wrapText="1"/>
    </xf>
    <xf numFmtId="0" fontId="4" fillId="0" borderId="24" xfId="5" applyFont="1" applyBorder="1" applyAlignment="1">
      <alignment horizontal="center" vertical="center"/>
    </xf>
    <xf numFmtId="0" fontId="4" fillId="0" borderId="10" xfId="5" applyFont="1" applyBorder="1" applyAlignment="1">
      <alignment horizontal="center" vertical="center"/>
    </xf>
    <xf numFmtId="0" fontId="4" fillId="0" borderId="11" xfId="5" applyFont="1" applyBorder="1" applyAlignment="1">
      <alignment horizontal="center" vertical="center"/>
    </xf>
    <xf numFmtId="0" fontId="4" fillId="31" borderId="21" xfId="5" applyFont="1" applyFill="1" applyBorder="1" applyAlignment="1">
      <alignment horizontal="center" vertical="center"/>
    </xf>
    <xf numFmtId="0" fontId="4" fillId="31" borderId="22" xfId="5" applyFont="1" applyFill="1" applyBorder="1" applyAlignment="1">
      <alignment horizontal="center" vertical="center"/>
    </xf>
    <xf numFmtId="0" fontId="4" fillId="31" borderId="23" xfId="5" applyFont="1" applyFill="1" applyBorder="1" applyAlignment="1">
      <alignment horizontal="center" vertical="center"/>
    </xf>
    <xf numFmtId="0" fontId="4" fillId="0" borderId="26" xfId="5" applyFont="1" applyBorder="1" applyAlignment="1">
      <alignment horizontal="center" vertical="center"/>
    </xf>
    <xf numFmtId="0" fontId="4" fillId="0" borderId="61" xfId="5" applyFont="1" applyBorder="1" applyAlignment="1">
      <alignment horizontal="center" vertical="center"/>
    </xf>
    <xf numFmtId="0" fontId="4" fillId="0" borderId="42" xfId="5" applyFont="1" applyBorder="1" applyAlignment="1">
      <alignment horizontal="center" vertical="center"/>
    </xf>
    <xf numFmtId="0" fontId="4" fillId="0" borderId="62" xfId="5" applyFont="1" applyBorder="1" applyAlignment="1">
      <alignment horizontal="center" vertical="center"/>
    </xf>
    <xf numFmtId="0" fontId="4" fillId="31" borderId="24" xfId="5" applyFont="1" applyFill="1" applyBorder="1" applyAlignment="1">
      <alignment horizontal="center" vertical="center"/>
    </xf>
    <xf numFmtId="0" fontId="4" fillId="31" borderId="42" xfId="5" applyFont="1" applyFill="1" applyBorder="1" applyAlignment="1">
      <alignment horizontal="center" vertical="center"/>
    </xf>
    <xf numFmtId="0" fontId="4" fillId="0" borderId="34" xfId="5" applyFont="1" applyBorder="1" applyAlignment="1">
      <alignment horizontal="center" vertical="center"/>
    </xf>
    <xf numFmtId="0" fontId="4" fillId="31" borderId="26" xfId="5" applyFont="1" applyFill="1" applyBorder="1" applyAlignment="1">
      <alignment horizontal="center" vertical="center" wrapText="1"/>
    </xf>
    <xf numFmtId="0" fontId="4" fillId="31" borderId="61" xfId="5" applyFont="1" applyFill="1" applyBorder="1" applyAlignment="1">
      <alignment horizontal="center" vertical="center" wrapText="1"/>
    </xf>
    <xf numFmtId="0" fontId="4" fillId="31" borderId="62" xfId="5" applyFont="1" applyFill="1" applyBorder="1" applyAlignment="1">
      <alignment horizontal="center" vertical="center" wrapText="1"/>
    </xf>
    <xf numFmtId="0" fontId="4" fillId="0" borderId="21" xfId="5" applyFont="1" applyBorder="1" applyAlignment="1">
      <alignment horizontal="center" vertical="center" wrapText="1"/>
    </xf>
    <xf numFmtId="0" fontId="4" fillId="0" borderId="23" xfId="5" applyFont="1" applyBorder="1" applyAlignment="1">
      <alignment horizontal="center" vertical="center" wrapText="1"/>
    </xf>
    <xf numFmtId="0" fontId="4" fillId="31" borderId="61" xfId="5" applyFont="1" applyFill="1" applyBorder="1" applyAlignment="1">
      <alignment horizontal="center" vertical="center"/>
    </xf>
    <xf numFmtId="0" fontId="4" fillId="31" borderId="25" xfId="5" applyFont="1" applyFill="1" applyBorder="1" applyAlignment="1">
      <alignment horizontal="center" vertical="center"/>
    </xf>
    <xf numFmtId="0" fontId="4" fillId="0" borderId="55" xfId="5" applyFont="1" applyBorder="1" applyAlignment="1">
      <alignment horizontal="center" vertical="center"/>
    </xf>
    <xf numFmtId="0" fontId="4" fillId="0" borderId="59" xfId="5" applyFont="1" applyBorder="1" applyAlignment="1">
      <alignment horizontal="center" vertical="center"/>
    </xf>
    <xf numFmtId="0" fontId="4" fillId="30" borderId="41" xfId="5" applyFont="1" applyFill="1" applyBorder="1" applyAlignment="1">
      <alignment horizontal="center" vertical="center"/>
    </xf>
    <xf numFmtId="0" fontId="4" fillId="30" borderId="42" xfId="5" applyFont="1" applyFill="1" applyBorder="1" applyAlignment="1">
      <alignment horizontal="center" vertical="center"/>
    </xf>
    <xf numFmtId="0" fontId="4" fillId="30" borderId="60" xfId="5" applyFont="1" applyFill="1" applyBorder="1" applyAlignment="1">
      <alignment horizontal="center" vertical="center"/>
    </xf>
    <xf numFmtId="0" fontId="4" fillId="30" borderId="26" xfId="5" applyFont="1" applyFill="1" applyBorder="1" applyAlignment="1">
      <alignment horizontal="center" vertical="center"/>
    </xf>
    <xf numFmtId="0" fontId="4" fillId="30" borderId="61" xfId="5" applyFont="1" applyFill="1" applyBorder="1" applyAlignment="1">
      <alignment horizontal="center" vertical="center"/>
    </xf>
    <xf numFmtId="0" fontId="4" fillId="30" borderId="62" xfId="5" applyFont="1" applyFill="1" applyBorder="1" applyAlignment="1">
      <alignment horizontal="center" vertical="center"/>
    </xf>
    <xf numFmtId="0" fontId="6" fillId="0" borderId="34" xfId="5" applyFont="1" applyBorder="1" applyAlignment="1">
      <alignment horizontal="center" vertical="center"/>
    </xf>
    <xf numFmtId="0" fontId="6" fillId="0" borderId="30" xfId="5" applyFont="1" applyBorder="1" applyAlignment="1">
      <alignment horizontal="center" vertical="center"/>
    </xf>
    <xf numFmtId="0" fontId="6" fillId="0" borderId="33" xfId="5" applyFont="1" applyBorder="1" applyAlignment="1">
      <alignment horizontal="center" vertical="center"/>
    </xf>
    <xf numFmtId="0" fontId="6" fillId="0" borderId="24" xfId="5" applyFont="1" applyBorder="1" applyAlignment="1">
      <alignment horizontal="center" vertical="center" wrapText="1"/>
    </xf>
    <xf numFmtId="0" fontId="6" fillId="0" borderId="11" xfId="5" applyFont="1" applyBorder="1" applyAlignment="1">
      <alignment horizontal="center" vertical="center" wrapText="1"/>
    </xf>
    <xf numFmtId="0" fontId="6" fillId="30" borderId="26" xfId="5" applyFont="1" applyFill="1" applyBorder="1" applyAlignment="1">
      <alignment horizontal="center" vertical="center"/>
    </xf>
    <xf numFmtId="0" fontId="6" fillId="30" borderId="61" xfId="5" applyFont="1" applyFill="1" applyBorder="1" applyAlignment="1">
      <alignment horizontal="center" vertical="center"/>
    </xf>
    <xf numFmtId="0" fontId="6" fillId="30" borderId="62" xfId="5" applyFont="1" applyFill="1" applyBorder="1" applyAlignment="1">
      <alignment horizontal="center" vertical="center"/>
    </xf>
    <xf numFmtId="0" fontId="6" fillId="0" borderId="26" xfId="5" applyFont="1" applyBorder="1" applyAlignment="1">
      <alignment horizontal="center" vertical="center"/>
    </xf>
    <xf numFmtId="0" fontId="6" fillId="0" borderId="61" xfId="5" applyFont="1" applyBorder="1" applyAlignment="1">
      <alignment horizontal="center" vertical="center"/>
    </xf>
    <xf numFmtId="0" fontId="6" fillId="0" borderId="62" xfId="5" applyFont="1" applyBorder="1" applyAlignment="1">
      <alignment horizontal="center" vertical="center"/>
    </xf>
    <xf numFmtId="0" fontId="4" fillId="0" borderId="26" xfId="5" applyFont="1" applyBorder="1" applyAlignment="1">
      <alignment horizontal="center" vertical="center" wrapText="1"/>
    </xf>
    <xf numFmtId="0" fontId="4" fillId="0" borderId="61" xfId="5" applyFont="1" applyBorder="1" applyAlignment="1">
      <alignment horizontal="center" vertical="center" wrapText="1"/>
    </xf>
    <xf numFmtId="0" fontId="4" fillId="0" borderId="62" xfId="5" applyFont="1" applyBorder="1" applyAlignment="1">
      <alignment horizontal="center" vertical="center" wrapText="1"/>
    </xf>
    <xf numFmtId="0" fontId="4" fillId="0" borderId="42" xfId="5" applyFont="1" applyBorder="1" applyAlignment="1">
      <alignment horizontal="center" vertical="center" wrapText="1"/>
    </xf>
    <xf numFmtId="0" fontId="4" fillId="0" borderId="60" xfId="5" applyFont="1" applyBorder="1" applyAlignment="1">
      <alignment horizontal="center" vertical="center" wrapText="1"/>
    </xf>
    <xf numFmtId="0" fontId="4" fillId="0" borderId="34" xfId="5" applyFont="1" applyBorder="1" applyAlignment="1">
      <alignment horizontal="center" vertical="center" wrapText="1"/>
    </xf>
    <xf numFmtId="0" fontId="4" fillId="0" borderId="35" xfId="5" applyFont="1" applyBorder="1" applyAlignment="1">
      <alignment horizontal="center" vertical="center" wrapText="1"/>
    </xf>
    <xf numFmtId="0" fontId="6" fillId="0" borderId="22" xfId="5" applyFont="1" applyBorder="1" applyAlignment="1">
      <alignment horizontal="center" vertical="center"/>
    </xf>
    <xf numFmtId="0" fontId="6" fillId="0" borderId="43" xfId="5" applyFont="1" applyBorder="1" applyAlignment="1">
      <alignment horizontal="center" vertical="center"/>
    </xf>
    <xf numFmtId="0" fontId="6" fillId="0" borderId="35" xfId="5" applyFont="1" applyBorder="1" applyAlignment="1">
      <alignment horizontal="center" vertical="center"/>
    </xf>
    <xf numFmtId="0" fontId="6" fillId="0" borderId="39" xfId="5" applyFont="1" applyBorder="1" applyAlignment="1">
      <alignment horizontal="center" vertical="center"/>
    </xf>
    <xf numFmtId="0" fontId="6" fillId="0" borderId="37" xfId="5" applyFont="1" applyBorder="1" applyAlignment="1">
      <alignment horizontal="center" vertical="center"/>
    </xf>
    <xf numFmtId="0" fontId="6" fillId="0" borderId="48" xfId="5" applyFont="1" applyBorder="1" applyAlignment="1">
      <alignment horizontal="center" vertical="center"/>
    </xf>
    <xf numFmtId="0" fontId="4" fillId="0" borderId="44" xfId="5" applyFont="1" applyBorder="1" applyAlignment="1">
      <alignment horizontal="center" vertical="center" wrapText="1"/>
    </xf>
    <xf numFmtId="0" fontId="4" fillId="0" borderId="45" xfId="5" applyFont="1" applyBorder="1" applyAlignment="1">
      <alignment horizontal="center" vertical="center" wrapText="1"/>
    </xf>
    <xf numFmtId="0" fontId="4" fillId="0" borderId="41" xfId="5" applyFont="1" applyBorder="1" applyAlignment="1">
      <alignment horizontal="center" vertical="center"/>
    </xf>
    <xf numFmtId="0" fontId="4" fillId="0" borderId="60" xfId="5" applyFont="1" applyBorder="1" applyAlignment="1">
      <alignment horizontal="center" vertical="center"/>
    </xf>
    <xf numFmtId="0" fontId="4" fillId="0" borderId="47" xfId="5" applyFont="1" applyBorder="1" applyAlignment="1">
      <alignment horizontal="center" vertical="center"/>
    </xf>
    <xf numFmtId="0" fontId="4" fillId="0" borderId="0" xfId="5" applyFont="1" applyBorder="1" applyAlignment="1">
      <alignment horizontal="center" vertical="center"/>
    </xf>
    <xf numFmtId="0" fontId="4" fillId="0" borderId="49" xfId="5" applyFont="1" applyBorder="1" applyAlignment="1">
      <alignment horizontal="center" vertical="center"/>
    </xf>
    <xf numFmtId="0" fontId="4" fillId="0" borderId="36" xfId="5" applyFont="1" applyBorder="1" applyAlignment="1">
      <alignment horizontal="center" vertical="center"/>
    </xf>
    <xf numFmtId="0" fontId="4" fillId="0" borderId="40" xfId="5" applyFont="1" applyBorder="1" applyAlignment="1">
      <alignment horizontal="center" vertical="center"/>
    </xf>
    <xf numFmtId="0" fontId="4" fillId="0" borderId="37" xfId="5" applyFont="1" applyBorder="1" applyAlignment="1">
      <alignment horizontal="center" vertical="center"/>
    </xf>
    <xf numFmtId="0" fontId="4" fillId="0" borderId="48" xfId="5" applyFont="1" applyBorder="1" applyAlignment="1">
      <alignment horizontal="center" vertical="center"/>
    </xf>
    <xf numFmtId="0" fontId="4" fillId="0" borderId="36" xfId="5" applyFont="1" applyBorder="1" applyAlignment="1">
      <alignment horizontal="center" vertical="center" wrapText="1"/>
    </xf>
    <xf numFmtId="0" fontId="6" fillId="0" borderId="38" xfId="5" applyFont="1" applyBorder="1" applyAlignment="1">
      <alignment horizontal="center" vertical="center"/>
    </xf>
    <xf numFmtId="0" fontId="6" fillId="0" borderId="31" xfId="5" applyFont="1" applyBorder="1" applyAlignment="1">
      <alignment horizontal="center" vertical="center"/>
    </xf>
    <xf numFmtId="0" fontId="6" fillId="0" borderId="9" xfId="5" applyFont="1" applyBorder="1" applyAlignment="1">
      <alignment horizontal="center" vertical="center"/>
    </xf>
    <xf numFmtId="0" fontId="6" fillId="0" borderId="63" xfId="5" applyFont="1" applyBorder="1" applyAlignment="1">
      <alignment horizontal="center" vertical="center"/>
    </xf>
    <xf numFmtId="0" fontId="6" fillId="0" borderId="42" xfId="5" applyFont="1" applyBorder="1" applyAlignment="1">
      <alignment horizontal="center" vertical="center"/>
    </xf>
    <xf numFmtId="0" fontId="6" fillId="0" borderId="23" xfId="5" applyFont="1" applyBorder="1" applyAlignment="1">
      <alignment horizontal="center" vertical="center"/>
    </xf>
    <xf numFmtId="0" fontId="6" fillId="0" borderId="41" xfId="5" applyFont="1" applyBorder="1" applyAlignment="1">
      <alignment horizontal="center" vertical="center"/>
    </xf>
    <xf numFmtId="0" fontId="6" fillId="0" borderId="60" xfId="5" applyFont="1" applyBorder="1" applyAlignment="1">
      <alignment horizontal="center" vertical="center"/>
    </xf>
    <xf numFmtId="0" fontId="30" fillId="0" borderId="41" xfId="3" applyFont="1" applyFill="1" applyBorder="1" applyAlignment="1">
      <alignment horizontal="center" vertical="center" wrapText="1"/>
    </xf>
    <xf numFmtId="0" fontId="30" fillId="0" borderId="42" xfId="3" applyFont="1" applyFill="1" applyBorder="1" applyAlignment="1">
      <alignment horizontal="center" vertical="center" wrapText="1"/>
    </xf>
    <xf numFmtId="0" fontId="30" fillId="0" borderId="60" xfId="3" applyFont="1" applyFill="1" applyBorder="1" applyAlignment="1">
      <alignment horizontal="center" vertical="center" wrapText="1"/>
    </xf>
    <xf numFmtId="0" fontId="30" fillId="0" borderId="47" xfId="3" applyFont="1" applyFill="1" applyBorder="1" applyAlignment="1">
      <alignment horizontal="center" vertical="center" wrapText="1"/>
    </xf>
    <xf numFmtId="0" fontId="30" fillId="0" borderId="0" xfId="3" applyFont="1" applyFill="1" applyBorder="1" applyAlignment="1">
      <alignment horizontal="center" vertical="center" wrapText="1"/>
    </xf>
    <xf numFmtId="0" fontId="30" fillId="0" borderId="49" xfId="3" applyFont="1" applyFill="1" applyBorder="1" applyAlignment="1">
      <alignment horizontal="center" vertical="center" wrapText="1"/>
    </xf>
    <xf numFmtId="0" fontId="16" fillId="0" borderId="51" xfId="3" applyFont="1" applyFill="1" applyBorder="1" applyAlignment="1">
      <alignment horizontal="center" vertical="center" wrapText="1"/>
    </xf>
    <xf numFmtId="0" fontId="16" fillId="0" borderId="72" xfId="3" applyFont="1" applyFill="1" applyBorder="1" applyAlignment="1">
      <alignment horizontal="center" vertical="center" wrapText="1"/>
    </xf>
    <xf numFmtId="0" fontId="16" fillId="0" borderId="21" xfId="3" applyFont="1" applyFill="1" applyBorder="1" applyAlignment="1">
      <alignment horizontal="center" vertical="center"/>
    </xf>
    <xf numFmtId="0" fontId="3" fillId="0" borderId="28" xfId="3" applyBorder="1" applyAlignment="1">
      <alignment horizontal="center" vertical="center"/>
    </xf>
    <xf numFmtId="0" fontId="3" fillId="0" borderId="27" xfId="3" applyBorder="1" applyAlignment="1">
      <alignment horizontal="center" vertical="center"/>
    </xf>
    <xf numFmtId="0" fontId="16" fillId="0" borderId="38" xfId="3" applyFont="1" applyFill="1" applyBorder="1" applyAlignment="1">
      <alignment horizontal="center" vertical="center"/>
    </xf>
    <xf numFmtId="0" fontId="3" fillId="0" borderId="44" xfId="3" applyBorder="1" applyAlignment="1">
      <alignment horizontal="center" vertical="center"/>
    </xf>
    <xf numFmtId="0" fontId="4" fillId="0" borderId="26" xfId="3" applyFont="1" applyFill="1" applyBorder="1" applyAlignment="1">
      <alignment horizontal="center" vertical="center" wrapText="1"/>
    </xf>
    <xf numFmtId="0" fontId="4" fillId="0" borderId="61" xfId="3" applyFont="1" applyFill="1" applyBorder="1" applyAlignment="1">
      <alignment horizontal="center" vertical="center" wrapText="1"/>
    </xf>
    <xf numFmtId="0" fontId="4" fillId="0" borderId="62" xfId="3" applyFont="1" applyFill="1" applyBorder="1" applyAlignment="1">
      <alignment horizontal="center" vertical="center" wrapText="1"/>
    </xf>
    <xf numFmtId="0" fontId="4" fillId="0" borderId="55" xfId="3" applyFont="1" applyFill="1" applyBorder="1" applyAlignment="1">
      <alignment horizontal="center" vertical="center" wrapText="1"/>
    </xf>
    <xf numFmtId="0" fontId="4" fillId="0" borderId="59" xfId="3" applyFont="1" applyFill="1" applyBorder="1" applyAlignment="1">
      <alignment horizontal="center" vertical="center" wrapText="1"/>
    </xf>
    <xf numFmtId="0" fontId="4" fillId="0" borderId="73" xfId="3" applyFont="1" applyFill="1" applyBorder="1" applyAlignment="1">
      <alignment horizontal="center" vertical="center" wrapText="1"/>
    </xf>
    <xf numFmtId="0" fontId="12" fillId="0" borderId="24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horizontal="center" vertical="center"/>
    </xf>
    <xf numFmtId="0" fontId="19" fillId="0" borderId="24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19" fillId="0" borderId="56" xfId="6" applyFont="1" applyBorder="1" applyAlignment="1">
      <alignment horizontal="center" vertical="center"/>
    </xf>
    <xf numFmtId="0" fontId="19" fillId="0" borderId="57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4" fillId="0" borderId="35" xfId="6" applyFont="1" applyBorder="1" applyAlignment="1">
      <alignment horizontal="center" vertical="center"/>
    </xf>
    <xf numFmtId="0" fontId="14" fillId="0" borderId="1" xfId="6" applyFont="1" applyBorder="1" applyAlignment="1">
      <alignment horizontal="center" vertical="center"/>
    </xf>
    <xf numFmtId="0" fontId="14" fillId="0" borderId="35" xfId="6" quotePrefix="1" applyFont="1" applyBorder="1" applyAlignment="1">
      <alignment horizontal="center" vertical="center"/>
    </xf>
    <xf numFmtId="0" fontId="14" fillId="0" borderId="1" xfId="6" quotePrefix="1" applyFont="1" applyBorder="1" applyAlignment="1">
      <alignment horizontal="center" vertical="center"/>
    </xf>
    <xf numFmtId="0" fontId="14" fillId="32" borderId="35" xfId="6" applyFont="1" applyFill="1" applyBorder="1" applyAlignment="1">
      <alignment horizontal="center" vertical="center" wrapText="1"/>
    </xf>
    <xf numFmtId="0" fontId="14" fillId="32" borderId="1" xfId="6" applyFont="1" applyFill="1" applyBorder="1" applyAlignment="1">
      <alignment horizontal="center" vertical="center"/>
    </xf>
    <xf numFmtId="0" fontId="14" fillId="32" borderId="19" xfId="6" applyFont="1" applyFill="1" applyBorder="1" applyAlignment="1">
      <alignment horizontal="center" vertical="center"/>
    </xf>
    <xf numFmtId="0" fontId="14" fillId="0" borderId="35" xfId="6" applyFont="1" applyBorder="1" applyAlignment="1">
      <alignment horizontal="center" vertical="center" wrapText="1"/>
    </xf>
    <xf numFmtId="0" fontId="14" fillId="0" borderId="19" xfId="6" applyFont="1" applyBorder="1" applyAlignment="1">
      <alignment horizontal="center" vertical="center"/>
    </xf>
    <xf numFmtId="0" fontId="14" fillId="0" borderId="23" xfId="6" applyFont="1" applyBorder="1" applyAlignment="1">
      <alignment horizontal="left" vertical="center" wrapText="1"/>
    </xf>
    <xf numFmtId="0" fontId="14" fillId="0" borderId="29" xfId="6" applyFont="1" applyBorder="1" applyAlignment="1">
      <alignment horizontal="left" vertical="center" wrapText="1"/>
    </xf>
    <xf numFmtId="0" fontId="14" fillId="0" borderId="53" xfId="6" applyFont="1" applyBorder="1" applyAlignment="1">
      <alignment horizontal="left" vertical="center" wrapText="1"/>
    </xf>
    <xf numFmtId="0" fontId="14" fillId="0" borderId="1" xfId="6" applyFont="1" applyBorder="1" applyAlignment="1">
      <alignment horizontal="center" vertical="center" wrapText="1"/>
    </xf>
    <xf numFmtId="0" fontId="16" fillId="0" borderId="37" xfId="6" applyFont="1" applyBorder="1" applyAlignment="1">
      <alignment horizontal="left" vertical="center" wrapText="1"/>
    </xf>
    <xf numFmtId="0" fontId="16" fillId="0" borderId="20" xfId="6" applyFont="1" applyBorder="1" applyAlignment="1">
      <alignment horizontal="left" vertical="center" wrapText="1"/>
    </xf>
    <xf numFmtId="0" fontId="14" fillId="32" borderId="19" xfId="6" applyFont="1" applyFill="1" applyBorder="1" applyAlignment="1">
      <alignment horizontal="center" vertical="center" wrapText="1"/>
    </xf>
    <xf numFmtId="0" fontId="14" fillId="32" borderId="22" xfId="6" applyFont="1" applyFill="1" applyBorder="1" applyAlignment="1">
      <alignment horizontal="center" vertical="center"/>
    </xf>
    <xf numFmtId="0" fontId="14" fillId="32" borderId="43" xfId="6" applyFont="1" applyFill="1" applyBorder="1" applyAlignment="1">
      <alignment horizontal="center" vertical="center"/>
    </xf>
    <xf numFmtId="0" fontId="14" fillId="32" borderId="45" xfId="6" applyFont="1" applyFill="1" applyBorder="1" applyAlignment="1">
      <alignment horizontal="center" vertical="center"/>
    </xf>
    <xf numFmtId="0" fontId="14" fillId="0" borderId="22" xfId="6" applyFont="1" applyBorder="1" applyAlignment="1">
      <alignment horizontal="center" vertical="center"/>
    </xf>
    <xf numFmtId="0" fontId="14" fillId="0" borderId="43" xfId="6" applyFont="1" applyBorder="1" applyAlignment="1">
      <alignment horizontal="center" vertical="center"/>
    </xf>
    <xf numFmtId="0" fontId="14" fillId="0" borderId="45" xfId="6" applyFont="1" applyBorder="1" applyAlignment="1">
      <alignment horizontal="center" vertical="center"/>
    </xf>
    <xf numFmtId="0" fontId="14" fillId="0" borderId="1" xfId="6" applyFont="1" applyFill="1" applyBorder="1" applyAlignment="1">
      <alignment horizontal="center" vertical="center" wrapText="1"/>
    </xf>
    <xf numFmtId="0" fontId="14" fillId="0" borderId="31" xfId="6" applyFont="1" applyBorder="1" applyAlignment="1">
      <alignment horizontal="left" vertical="center" wrapText="1"/>
    </xf>
    <xf numFmtId="0" fontId="16" fillId="0" borderId="7" xfId="3" applyFont="1" applyBorder="1" applyAlignment="1">
      <alignment horizontal="center" vertical="center"/>
    </xf>
    <xf numFmtId="0" fontId="16" fillId="0" borderId="70" xfId="3" applyFont="1" applyBorder="1" applyAlignment="1">
      <alignment horizontal="center" vertical="center"/>
    </xf>
    <xf numFmtId="0" fontId="16" fillId="0" borderId="67" xfId="3" applyFont="1" applyBorder="1" applyAlignment="1">
      <alignment horizontal="center" vertical="center"/>
    </xf>
    <xf numFmtId="0" fontId="16" fillId="0" borderId="38" xfId="3" applyFont="1" applyBorder="1" applyAlignment="1">
      <alignment horizontal="center" vertical="center"/>
    </xf>
    <xf numFmtId="0" fontId="16" fillId="0" borderId="39" xfId="3" applyFont="1" applyBorder="1" applyAlignment="1">
      <alignment horizontal="center" vertical="center"/>
    </xf>
    <xf numFmtId="0" fontId="16" fillId="0" borderId="21" xfId="3" applyFont="1" applyBorder="1" applyAlignment="1">
      <alignment horizontal="center" vertical="center"/>
    </xf>
    <xf numFmtId="0" fontId="16" fillId="0" borderId="28" xfId="3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/>
    </xf>
    <xf numFmtId="0" fontId="16" fillId="0" borderId="35" xfId="3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/>
    </xf>
    <xf numFmtId="0" fontId="16" fillId="0" borderId="37" xfId="3" quotePrefix="1" applyFont="1" applyBorder="1" applyAlignment="1">
      <alignment horizontal="center" vertical="center"/>
    </xf>
    <xf numFmtId="0" fontId="16" fillId="0" borderId="31" xfId="3" quotePrefix="1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 wrapText="1"/>
    </xf>
    <xf numFmtId="0" fontId="16" fillId="0" borderId="39" xfId="3" applyFont="1" applyBorder="1" applyAlignment="1">
      <alignment horizontal="center" vertical="center" wrapText="1"/>
    </xf>
    <xf numFmtId="0" fontId="16" fillId="0" borderId="3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0" fontId="16" fillId="0" borderId="1" xfId="3" applyFont="1" applyBorder="1" applyAlignment="1">
      <alignment horizontal="left" vertical="center" wrapText="1"/>
    </xf>
    <xf numFmtId="0" fontId="25" fillId="0" borderId="1" xfId="3" applyFont="1" applyBorder="1" applyAlignment="1">
      <alignment horizontal="center" vertical="center"/>
    </xf>
  </cellXfs>
  <cellStyles count="7">
    <cellStyle name="一般" xfId="0" builtinId="0"/>
    <cellStyle name="一般 13" xfId="1"/>
    <cellStyle name="一般 2" xfId="2"/>
    <cellStyle name="一般 3" xfId="3"/>
    <cellStyle name="一般 3 2" xfId="5"/>
    <cellStyle name="一般 4" xfId="6"/>
    <cellStyle name="超連結 2" xfId="4"/>
  </cellStyles>
  <dxfs count="4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angz5497@gmail.com" TargetMode="External"/><Relationship Id="rId2" Type="http://schemas.openxmlformats.org/officeDocument/2006/relationships/hyperlink" Target="mailto:linsunshu@gmail.com" TargetMode="External"/><Relationship Id="rId1" Type="http://schemas.openxmlformats.org/officeDocument/2006/relationships/hyperlink" Target="mailto:maniko0313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ycchen@gandau.gov.tw" TargetMode="External"/><Relationship Id="rId3" Type="http://schemas.openxmlformats.org/officeDocument/2006/relationships/hyperlink" Target="mailto:Z2093@tpech.gov.tw&#12289;A1328@tpech.gov.tw" TargetMode="External"/><Relationship Id="rId7" Type="http://schemas.openxmlformats.org/officeDocument/2006/relationships/hyperlink" Target="mailto:yj0913@cgmh.org.tw" TargetMode="External"/><Relationship Id="rId2" Type="http://schemas.openxmlformats.org/officeDocument/2006/relationships/hyperlink" Target="mailto:AP0828@ntpc.gov.tw" TargetMode="External"/><Relationship Id="rId1" Type="http://schemas.openxmlformats.org/officeDocument/2006/relationships/hyperlink" Target="mailto:150646@tahsda.org.tw(&#26519;&#27589;&#27427;)&#12289;162024@tahsda.org.tw(&#40643;&#23500;&#40599;)" TargetMode="External"/><Relationship Id="rId6" Type="http://schemas.openxmlformats.org/officeDocument/2006/relationships/hyperlink" Target="mailto:A6513@tpech.gov.tw" TargetMode="External"/><Relationship Id="rId5" Type="http://schemas.openxmlformats.org/officeDocument/2006/relationships/hyperlink" Target="mailto:997016@mail.pohai.org.tw(&#26519;&#26360;&#32701;)&#12289;c112008@mail.pohai.org.tw(&#24373;&#20381;&#23159;)" TargetMode="External"/><Relationship Id="rId10" Type="http://schemas.openxmlformats.org/officeDocument/2006/relationships/printerSettings" Target="../printerSettings/printerSettings9.bin"/><Relationship Id="rId4" Type="http://schemas.openxmlformats.org/officeDocument/2006/relationships/hyperlink" Target="mailto:noahsang@gmail.com(&#26705;&#20104;&#32676;&#20027;&#20219;)&#12289;maggie0607@gmail.com(&#22948;&#23433;&#30563;&#23566;)" TargetMode="External"/><Relationship Id="rId9" Type="http://schemas.openxmlformats.org/officeDocument/2006/relationships/hyperlink" Target="mailto:moana.g256@mmh.org.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5"/>
  <sheetViews>
    <sheetView topLeftCell="A31" workbookViewId="0">
      <selection activeCell="H87" sqref="H87"/>
    </sheetView>
  </sheetViews>
  <sheetFormatPr defaultRowHeight="15.75"/>
  <cols>
    <col min="2" max="2" width="16" bestFit="1" customWidth="1"/>
    <col min="6" max="6" width="34.42578125" bestFit="1" customWidth="1"/>
    <col min="9" max="9" width="15.42578125" bestFit="1" customWidth="1"/>
    <col min="10" max="10" width="38" bestFit="1" customWidth="1"/>
    <col min="11" max="11" width="67.42578125" bestFit="1" customWidth="1"/>
  </cols>
  <sheetData>
    <row r="1" spans="1:15" s="85" customFormat="1">
      <c r="A1" s="85" t="s">
        <v>4</v>
      </c>
      <c r="B1" s="85" t="s">
        <v>699</v>
      </c>
      <c r="C1" s="85" t="s">
        <v>352</v>
      </c>
      <c r="D1" s="85" t="s">
        <v>700</v>
      </c>
      <c r="E1" s="85" t="s">
        <v>354</v>
      </c>
      <c r="F1" s="85" t="s">
        <v>355</v>
      </c>
      <c r="G1" s="85" t="s">
        <v>356</v>
      </c>
      <c r="H1" s="85" t="s">
        <v>357</v>
      </c>
      <c r="I1" s="85" t="s">
        <v>358</v>
      </c>
      <c r="J1" s="85" t="s">
        <v>359</v>
      </c>
      <c r="K1" s="85" t="s">
        <v>360</v>
      </c>
      <c r="L1" s="85" t="s">
        <v>361</v>
      </c>
      <c r="M1" s="85" t="s">
        <v>362</v>
      </c>
      <c r="N1" s="85" t="s">
        <v>363</v>
      </c>
      <c r="O1" s="85" t="s">
        <v>364</v>
      </c>
    </row>
    <row r="2" spans="1:15" s="89" customFormat="1">
      <c r="A2" s="89" t="s">
        <v>625</v>
      </c>
      <c r="B2" s="89" t="s">
        <v>626</v>
      </c>
      <c r="C2" s="89" t="s">
        <v>627</v>
      </c>
      <c r="D2" s="89" t="s">
        <v>628</v>
      </c>
      <c r="E2" s="89" t="s">
        <v>629</v>
      </c>
      <c r="F2" s="89" t="s">
        <v>630</v>
      </c>
      <c r="G2" s="89" t="s">
        <v>631</v>
      </c>
      <c r="H2" s="89" t="s">
        <v>632</v>
      </c>
      <c r="I2" s="89" t="s">
        <v>633</v>
      </c>
      <c r="J2" s="89" t="s">
        <v>634</v>
      </c>
      <c r="K2" s="89" t="s">
        <v>635</v>
      </c>
      <c r="L2" s="89" t="s">
        <v>636</v>
      </c>
      <c r="M2" s="89" t="s">
        <v>637</v>
      </c>
      <c r="N2" s="89" t="s">
        <v>638</v>
      </c>
      <c r="O2" s="89" t="s">
        <v>624</v>
      </c>
    </row>
    <row r="3" spans="1:15" s="87" customFormat="1">
      <c r="A3" s="88" t="s">
        <v>616</v>
      </c>
      <c r="B3" s="86" t="s">
        <v>617</v>
      </c>
      <c r="C3" s="86" t="s">
        <v>380</v>
      </c>
      <c r="D3" s="86" t="s">
        <v>618</v>
      </c>
      <c r="E3" s="86" t="s">
        <v>369</v>
      </c>
      <c r="F3" s="86" t="s">
        <v>619</v>
      </c>
      <c r="G3" s="86" t="s">
        <v>371</v>
      </c>
      <c r="H3" s="86" t="s">
        <v>620</v>
      </c>
      <c r="I3" s="86" t="s">
        <v>621</v>
      </c>
      <c r="J3" s="86" t="s">
        <v>622</v>
      </c>
      <c r="K3" s="86" t="s">
        <v>623</v>
      </c>
      <c r="L3" s="86" t="s">
        <v>386</v>
      </c>
      <c r="N3" s="86">
        <v>113</v>
      </c>
      <c r="O3" s="88" t="s">
        <v>624</v>
      </c>
    </row>
    <row r="4" spans="1:15" s="87" customFormat="1">
      <c r="A4" s="88" t="s">
        <v>639</v>
      </c>
      <c r="B4" s="86" t="s">
        <v>640</v>
      </c>
      <c r="C4" s="86" t="s">
        <v>367</v>
      </c>
      <c r="D4" s="86" t="s">
        <v>641</v>
      </c>
      <c r="E4" s="86" t="s">
        <v>369</v>
      </c>
      <c r="F4" s="86" t="s">
        <v>382</v>
      </c>
      <c r="G4" s="86" t="s">
        <v>371</v>
      </c>
      <c r="H4" s="86" t="s">
        <v>454</v>
      </c>
      <c r="I4" s="86" t="s">
        <v>642</v>
      </c>
      <c r="J4" s="86" t="s">
        <v>643</v>
      </c>
      <c r="K4" s="86" t="s">
        <v>644</v>
      </c>
      <c r="L4" s="86" t="s">
        <v>376</v>
      </c>
      <c r="N4" s="86">
        <v>113</v>
      </c>
      <c r="O4" s="88" t="s">
        <v>624</v>
      </c>
    </row>
    <row r="5" spans="1:15" s="87" customFormat="1">
      <c r="A5" s="88" t="s">
        <v>645</v>
      </c>
      <c r="B5" s="86" t="s">
        <v>646</v>
      </c>
      <c r="C5" s="86" t="s">
        <v>367</v>
      </c>
      <c r="D5" s="86" t="s">
        <v>647</v>
      </c>
      <c r="E5" s="86" t="s">
        <v>369</v>
      </c>
      <c r="F5" s="86" t="s">
        <v>471</v>
      </c>
      <c r="G5" s="86" t="s">
        <v>371</v>
      </c>
      <c r="H5" s="86" t="s">
        <v>454</v>
      </c>
      <c r="I5" s="86" t="s">
        <v>648</v>
      </c>
      <c r="J5" s="86" t="s">
        <v>649</v>
      </c>
      <c r="K5" s="86" t="s">
        <v>650</v>
      </c>
      <c r="L5" s="86" t="s">
        <v>376</v>
      </c>
      <c r="N5" s="86">
        <v>113</v>
      </c>
      <c r="O5" s="88" t="s">
        <v>624</v>
      </c>
    </row>
    <row r="6" spans="1:15" s="87" customFormat="1">
      <c r="A6" s="88" t="s">
        <v>651</v>
      </c>
      <c r="B6" s="86" t="s">
        <v>652</v>
      </c>
      <c r="C6" s="86" t="s">
        <v>367</v>
      </c>
      <c r="D6" s="86" t="s">
        <v>653</v>
      </c>
      <c r="E6" s="86" t="s">
        <v>369</v>
      </c>
      <c r="F6" s="86" t="s">
        <v>478</v>
      </c>
      <c r="G6" s="86" t="s">
        <v>371</v>
      </c>
      <c r="H6" s="86" t="s">
        <v>454</v>
      </c>
      <c r="I6" s="86" t="s">
        <v>654</v>
      </c>
      <c r="J6" s="86" t="s">
        <v>655</v>
      </c>
      <c r="K6" s="86" t="s">
        <v>656</v>
      </c>
      <c r="L6" s="86" t="s">
        <v>376</v>
      </c>
      <c r="N6" s="86">
        <v>113</v>
      </c>
      <c r="O6" s="88" t="s">
        <v>624</v>
      </c>
    </row>
    <row r="7" spans="1:15" s="87" customFormat="1">
      <c r="A7" s="88" t="s">
        <v>657</v>
      </c>
      <c r="B7" s="86" t="s">
        <v>658</v>
      </c>
      <c r="C7" s="86" t="s">
        <v>367</v>
      </c>
      <c r="D7" s="86" t="s">
        <v>659</v>
      </c>
      <c r="E7" s="86" t="s">
        <v>369</v>
      </c>
      <c r="F7" s="86" t="s">
        <v>566</v>
      </c>
      <c r="G7" s="86" t="s">
        <v>371</v>
      </c>
      <c r="H7" s="86" t="s">
        <v>454</v>
      </c>
      <c r="I7" s="86" t="s">
        <v>660</v>
      </c>
      <c r="J7" s="86" t="s">
        <v>661</v>
      </c>
      <c r="K7" s="86" t="s">
        <v>662</v>
      </c>
      <c r="L7" s="86" t="s">
        <v>376</v>
      </c>
      <c r="N7" s="86">
        <v>113</v>
      </c>
      <c r="O7" s="88" t="s">
        <v>624</v>
      </c>
    </row>
    <row r="8" spans="1:15" s="87" customFormat="1">
      <c r="A8" s="88" t="s">
        <v>663</v>
      </c>
      <c r="B8" s="86" t="s">
        <v>664</v>
      </c>
      <c r="C8" s="86" t="s">
        <v>367</v>
      </c>
      <c r="D8" s="86" t="s">
        <v>665</v>
      </c>
      <c r="E8" s="86" t="s">
        <v>369</v>
      </c>
      <c r="F8" s="86" t="s">
        <v>478</v>
      </c>
      <c r="G8" s="86" t="s">
        <v>371</v>
      </c>
      <c r="H8" s="86" t="s">
        <v>454</v>
      </c>
      <c r="I8" s="86" t="s">
        <v>666</v>
      </c>
      <c r="J8" s="86" t="s">
        <v>667</v>
      </c>
      <c r="K8" s="86" t="s">
        <v>668</v>
      </c>
      <c r="L8" s="86" t="s">
        <v>393</v>
      </c>
      <c r="N8" s="86">
        <v>113</v>
      </c>
      <c r="O8" s="88" t="s">
        <v>624</v>
      </c>
    </row>
    <row r="9" spans="1:15" s="87" customFormat="1">
      <c r="A9" s="88" t="s">
        <v>669</v>
      </c>
      <c r="B9" s="86" t="s">
        <v>670</v>
      </c>
      <c r="C9" s="86" t="s">
        <v>367</v>
      </c>
      <c r="D9" s="86" t="s">
        <v>671</v>
      </c>
      <c r="E9" s="86" t="s">
        <v>369</v>
      </c>
      <c r="F9" s="86" t="s">
        <v>471</v>
      </c>
      <c r="G9" s="86" t="s">
        <v>371</v>
      </c>
      <c r="H9" s="86" t="s">
        <v>454</v>
      </c>
      <c r="I9" s="86" t="s">
        <v>672</v>
      </c>
      <c r="J9" s="86" t="s">
        <v>673</v>
      </c>
      <c r="K9" s="86" t="s">
        <v>674</v>
      </c>
      <c r="L9" s="86" t="s">
        <v>393</v>
      </c>
      <c r="N9" s="86">
        <v>113</v>
      </c>
      <c r="O9" s="88" t="s">
        <v>624</v>
      </c>
    </row>
    <row r="10" spans="1:15" s="87" customFormat="1">
      <c r="A10" s="88" t="s">
        <v>675</v>
      </c>
      <c r="B10" s="86" t="s">
        <v>676</v>
      </c>
      <c r="C10" s="86" t="s">
        <v>367</v>
      </c>
      <c r="D10" s="86" t="s">
        <v>677</v>
      </c>
      <c r="E10" s="86" t="s">
        <v>369</v>
      </c>
      <c r="F10" s="86" t="s">
        <v>559</v>
      </c>
      <c r="G10" s="86" t="s">
        <v>371</v>
      </c>
      <c r="H10" s="86" t="s">
        <v>454</v>
      </c>
      <c r="I10" s="86" t="s">
        <v>678</v>
      </c>
      <c r="J10" s="86" t="s">
        <v>679</v>
      </c>
      <c r="K10" s="86" t="s">
        <v>680</v>
      </c>
      <c r="L10" s="86" t="s">
        <v>376</v>
      </c>
      <c r="N10" s="86">
        <v>113</v>
      </c>
      <c r="O10" s="88" t="s">
        <v>624</v>
      </c>
    </row>
    <row r="11" spans="1:15" s="87" customFormat="1">
      <c r="A11" s="88" t="s">
        <v>681</v>
      </c>
      <c r="B11" s="86" t="s">
        <v>682</v>
      </c>
      <c r="C11" s="86" t="s">
        <v>367</v>
      </c>
      <c r="D11" s="86" t="s">
        <v>683</v>
      </c>
      <c r="E11" s="86" t="s">
        <v>369</v>
      </c>
      <c r="F11" s="86" t="s">
        <v>447</v>
      </c>
      <c r="G11" s="86" t="s">
        <v>371</v>
      </c>
      <c r="H11" s="86" t="s">
        <v>454</v>
      </c>
      <c r="I11" s="86" t="s">
        <v>684</v>
      </c>
      <c r="J11" s="86" t="s">
        <v>685</v>
      </c>
      <c r="K11" s="86" t="s">
        <v>686</v>
      </c>
      <c r="L11" s="86" t="s">
        <v>376</v>
      </c>
      <c r="N11" s="86">
        <v>113</v>
      </c>
      <c r="O11" s="88" t="s">
        <v>624</v>
      </c>
    </row>
    <row r="12" spans="1:15" s="87" customFormat="1">
      <c r="A12" s="86" t="s">
        <v>687</v>
      </c>
      <c r="B12" s="86" t="s">
        <v>688</v>
      </c>
      <c r="C12" s="86" t="s">
        <v>367</v>
      </c>
      <c r="D12" s="86" t="s">
        <v>689</v>
      </c>
      <c r="E12" s="86" t="s">
        <v>369</v>
      </c>
      <c r="F12" s="86" t="s">
        <v>471</v>
      </c>
      <c r="G12" s="86" t="s">
        <v>371</v>
      </c>
      <c r="H12" s="86" t="s">
        <v>454</v>
      </c>
      <c r="I12" s="86" t="s">
        <v>690</v>
      </c>
      <c r="J12" s="86" t="s">
        <v>691</v>
      </c>
      <c r="K12" s="86" t="s">
        <v>692</v>
      </c>
      <c r="L12" s="86" t="s">
        <v>376</v>
      </c>
      <c r="N12" s="86">
        <v>113</v>
      </c>
      <c r="O12" s="88" t="s">
        <v>624</v>
      </c>
    </row>
    <row r="13" spans="1:15" s="87" customFormat="1">
      <c r="A13" s="86" t="s">
        <v>693</v>
      </c>
      <c r="B13" s="86" t="s">
        <v>694</v>
      </c>
      <c r="C13" s="86" t="s">
        <v>367</v>
      </c>
      <c r="D13" s="86" t="s">
        <v>695</v>
      </c>
      <c r="E13" s="86" t="s">
        <v>369</v>
      </c>
      <c r="F13" s="86" t="s">
        <v>382</v>
      </c>
      <c r="G13" s="86" t="s">
        <v>371</v>
      </c>
      <c r="H13" s="86" t="s">
        <v>454</v>
      </c>
      <c r="I13" s="86" t="s">
        <v>696</v>
      </c>
      <c r="J13" s="86" t="s">
        <v>697</v>
      </c>
      <c r="K13" s="86" t="s">
        <v>698</v>
      </c>
      <c r="L13" s="86" t="s">
        <v>444</v>
      </c>
      <c r="N13" s="86">
        <v>113</v>
      </c>
      <c r="O13" s="88" t="s">
        <v>624</v>
      </c>
    </row>
    <row r="15" spans="1:15" s="85" customFormat="1">
      <c r="A15" s="85" t="s">
        <v>350</v>
      </c>
      <c r="B15" s="85" t="s">
        <v>351</v>
      </c>
      <c r="C15" s="85" t="s">
        <v>352</v>
      </c>
      <c r="D15" s="85" t="s">
        <v>353</v>
      </c>
      <c r="E15" s="85" t="s">
        <v>354</v>
      </c>
      <c r="F15" s="85" t="s">
        <v>355</v>
      </c>
      <c r="G15" s="85" t="s">
        <v>356</v>
      </c>
      <c r="H15" s="85" t="s">
        <v>357</v>
      </c>
      <c r="I15" s="85" t="s">
        <v>358</v>
      </c>
      <c r="J15" s="85" t="s">
        <v>359</v>
      </c>
      <c r="K15" s="85" t="s">
        <v>360</v>
      </c>
      <c r="L15" s="85" t="s">
        <v>361</v>
      </c>
      <c r="M15" s="85" t="s">
        <v>362</v>
      </c>
      <c r="N15" s="85" t="s">
        <v>363</v>
      </c>
      <c r="O15" s="85" t="s">
        <v>364</v>
      </c>
    </row>
    <row r="16" spans="1:15" s="87" customFormat="1">
      <c r="A16" s="86" t="s">
        <v>365</v>
      </c>
      <c r="B16" s="86" t="s">
        <v>366</v>
      </c>
      <c r="C16" s="86" t="s">
        <v>367</v>
      </c>
      <c r="D16" s="86" t="s">
        <v>368</v>
      </c>
      <c r="E16" s="86" t="s">
        <v>369</v>
      </c>
      <c r="F16" s="86" t="s">
        <v>370</v>
      </c>
      <c r="G16" s="86" t="s">
        <v>371</v>
      </c>
      <c r="H16" s="86" t="s">
        <v>372</v>
      </c>
      <c r="I16" s="86" t="s">
        <v>373</v>
      </c>
      <c r="J16" s="86" t="s">
        <v>374</v>
      </c>
      <c r="K16" s="86" t="s">
        <v>375</v>
      </c>
      <c r="L16" s="86" t="s">
        <v>376</v>
      </c>
      <c r="N16" s="86">
        <v>114</v>
      </c>
      <c r="O16" s="86" t="s">
        <v>377</v>
      </c>
    </row>
    <row r="17" spans="1:15" s="87" customFormat="1">
      <c r="A17" s="86" t="s">
        <v>378</v>
      </c>
      <c r="B17" s="86" t="s">
        <v>379</v>
      </c>
      <c r="C17" s="86" t="s">
        <v>380</v>
      </c>
      <c r="D17" s="86" t="s">
        <v>381</v>
      </c>
      <c r="E17" s="86" t="s">
        <v>369</v>
      </c>
      <c r="F17" s="86" t="s">
        <v>382</v>
      </c>
      <c r="G17" s="86" t="s">
        <v>371</v>
      </c>
      <c r="H17" s="86" t="s">
        <v>372</v>
      </c>
      <c r="I17" s="86" t="s">
        <v>383</v>
      </c>
      <c r="J17" s="86" t="s">
        <v>384</v>
      </c>
      <c r="K17" s="86" t="s">
        <v>385</v>
      </c>
      <c r="L17" s="86" t="s">
        <v>386</v>
      </c>
      <c r="N17" s="86">
        <v>114</v>
      </c>
      <c r="O17" s="86" t="s">
        <v>377</v>
      </c>
    </row>
    <row r="18" spans="1:15" s="87" customFormat="1">
      <c r="A18" s="86" t="s">
        <v>387</v>
      </c>
      <c r="B18" s="86" t="s">
        <v>388</v>
      </c>
      <c r="C18" s="86" t="s">
        <v>367</v>
      </c>
      <c r="D18" s="86" t="s">
        <v>389</v>
      </c>
      <c r="E18" s="86" t="s">
        <v>369</v>
      </c>
      <c r="F18" s="86" t="s">
        <v>382</v>
      </c>
      <c r="G18" s="86" t="s">
        <v>371</v>
      </c>
      <c r="H18" s="86" t="s">
        <v>372</v>
      </c>
      <c r="I18" s="86" t="s">
        <v>390</v>
      </c>
      <c r="J18" s="86" t="s">
        <v>391</v>
      </c>
      <c r="K18" s="86" t="s">
        <v>392</v>
      </c>
      <c r="L18" s="86" t="s">
        <v>393</v>
      </c>
      <c r="N18" s="86">
        <v>114</v>
      </c>
      <c r="O18" s="86" t="s">
        <v>377</v>
      </c>
    </row>
    <row r="19" spans="1:15" s="87" customFormat="1">
      <c r="A19" s="86" t="s">
        <v>394</v>
      </c>
      <c r="B19" s="86" t="s">
        <v>395</v>
      </c>
      <c r="C19" s="86" t="s">
        <v>380</v>
      </c>
      <c r="D19" s="86" t="s">
        <v>396</v>
      </c>
      <c r="E19" s="86" t="s">
        <v>369</v>
      </c>
      <c r="F19" s="86" t="s">
        <v>382</v>
      </c>
      <c r="G19" s="86" t="s">
        <v>371</v>
      </c>
      <c r="H19" s="86" t="s">
        <v>372</v>
      </c>
      <c r="I19" s="86" t="s">
        <v>397</v>
      </c>
      <c r="J19" s="86" t="s">
        <v>398</v>
      </c>
      <c r="K19" s="86" t="s">
        <v>399</v>
      </c>
      <c r="L19" s="86" t="s">
        <v>386</v>
      </c>
      <c r="N19" s="86">
        <v>114</v>
      </c>
      <c r="O19" s="86" t="s">
        <v>377</v>
      </c>
    </row>
    <row r="20" spans="1:15" s="87" customFormat="1">
      <c r="A20" s="86" t="s">
        <v>400</v>
      </c>
      <c r="B20" s="86" t="s">
        <v>401</v>
      </c>
      <c r="C20" s="86" t="s">
        <v>380</v>
      </c>
      <c r="D20" s="86" t="s">
        <v>402</v>
      </c>
      <c r="E20" s="86" t="s">
        <v>369</v>
      </c>
      <c r="F20" s="86" t="s">
        <v>403</v>
      </c>
      <c r="G20" s="86" t="s">
        <v>404</v>
      </c>
      <c r="H20" s="86" t="s">
        <v>372</v>
      </c>
      <c r="I20" s="86" t="s">
        <v>405</v>
      </c>
      <c r="J20" s="86" t="s">
        <v>406</v>
      </c>
      <c r="K20" s="86" t="s">
        <v>407</v>
      </c>
      <c r="L20" s="86" t="s">
        <v>386</v>
      </c>
      <c r="N20" s="86">
        <v>114</v>
      </c>
      <c r="O20" s="86" t="s">
        <v>377</v>
      </c>
    </row>
    <row r="21" spans="1:15" s="87" customFormat="1">
      <c r="A21" s="86" t="s">
        <v>66</v>
      </c>
      <c r="B21" s="86" t="s">
        <v>408</v>
      </c>
      <c r="C21" s="86" t="s">
        <v>380</v>
      </c>
      <c r="D21" s="86" t="s">
        <v>409</v>
      </c>
      <c r="E21" s="86" t="s">
        <v>369</v>
      </c>
      <c r="F21" s="86" t="s">
        <v>410</v>
      </c>
      <c r="G21" s="86" t="s">
        <v>371</v>
      </c>
      <c r="H21" s="86" t="s">
        <v>372</v>
      </c>
      <c r="I21" s="86" t="s">
        <v>411</v>
      </c>
      <c r="J21" s="86" t="s">
        <v>412</v>
      </c>
      <c r="K21" s="86" t="s">
        <v>413</v>
      </c>
      <c r="L21" s="86" t="s">
        <v>386</v>
      </c>
      <c r="N21" s="86">
        <v>114</v>
      </c>
      <c r="O21" s="86" t="s">
        <v>377</v>
      </c>
    </row>
    <row r="22" spans="1:15" s="87" customFormat="1">
      <c r="A22" s="86" t="s">
        <v>414</v>
      </c>
      <c r="B22" s="86" t="s">
        <v>415</v>
      </c>
      <c r="C22" s="86" t="s">
        <v>367</v>
      </c>
      <c r="D22" s="86" t="s">
        <v>416</v>
      </c>
      <c r="E22" s="86" t="s">
        <v>369</v>
      </c>
      <c r="F22" s="86" t="s">
        <v>417</v>
      </c>
      <c r="G22" s="86" t="s">
        <v>371</v>
      </c>
      <c r="H22" s="86" t="s">
        <v>372</v>
      </c>
      <c r="I22" s="86" t="s">
        <v>418</v>
      </c>
      <c r="J22" s="86" t="s">
        <v>419</v>
      </c>
      <c r="K22" s="86" t="s">
        <v>420</v>
      </c>
      <c r="L22" s="86" t="s">
        <v>421</v>
      </c>
      <c r="N22" s="86">
        <v>114</v>
      </c>
      <c r="O22" s="86" t="s">
        <v>377</v>
      </c>
    </row>
    <row r="23" spans="1:15" s="87" customFormat="1">
      <c r="A23" s="86" t="s">
        <v>81</v>
      </c>
      <c r="B23" s="86" t="s">
        <v>422</v>
      </c>
      <c r="C23" s="86" t="s">
        <v>380</v>
      </c>
      <c r="D23" s="86" t="s">
        <v>423</v>
      </c>
      <c r="E23" s="86" t="s">
        <v>369</v>
      </c>
      <c r="F23" s="86" t="s">
        <v>382</v>
      </c>
      <c r="G23" s="86" t="s">
        <v>371</v>
      </c>
      <c r="H23" s="86" t="s">
        <v>372</v>
      </c>
      <c r="I23" s="86" t="s">
        <v>424</v>
      </c>
      <c r="J23" s="86" t="s">
        <v>425</v>
      </c>
      <c r="K23" s="86" t="s">
        <v>426</v>
      </c>
      <c r="L23" s="86" t="s">
        <v>386</v>
      </c>
      <c r="N23" s="86">
        <v>114</v>
      </c>
      <c r="O23" s="86" t="s">
        <v>377</v>
      </c>
    </row>
    <row r="24" spans="1:15" s="87" customFormat="1">
      <c r="A24" s="86" t="s">
        <v>427</v>
      </c>
      <c r="B24" s="86" t="s">
        <v>428</v>
      </c>
      <c r="C24" s="86" t="s">
        <v>367</v>
      </c>
      <c r="D24" s="86" t="s">
        <v>429</v>
      </c>
      <c r="E24" s="86" t="s">
        <v>369</v>
      </c>
      <c r="F24" s="86" t="s">
        <v>417</v>
      </c>
      <c r="G24" s="86" t="s">
        <v>371</v>
      </c>
      <c r="H24" s="86" t="s">
        <v>372</v>
      </c>
      <c r="I24" s="86" t="s">
        <v>430</v>
      </c>
      <c r="J24" s="86" t="s">
        <v>431</v>
      </c>
      <c r="K24" s="86" t="s">
        <v>432</v>
      </c>
      <c r="L24" s="86" t="s">
        <v>376</v>
      </c>
      <c r="N24" s="86">
        <v>114</v>
      </c>
      <c r="O24" s="86" t="s">
        <v>377</v>
      </c>
    </row>
    <row r="25" spans="1:15" s="87" customFormat="1">
      <c r="A25" s="86" t="s">
        <v>433</v>
      </c>
      <c r="B25" s="86" t="s">
        <v>434</v>
      </c>
      <c r="C25" s="86" t="s">
        <v>380</v>
      </c>
      <c r="D25" s="86" t="s">
        <v>435</v>
      </c>
      <c r="E25" s="86" t="s">
        <v>369</v>
      </c>
      <c r="F25" s="86" t="s">
        <v>382</v>
      </c>
      <c r="G25" s="86" t="s">
        <v>371</v>
      </c>
      <c r="H25" s="86" t="s">
        <v>372</v>
      </c>
      <c r="I25" s="86" t="s">
        <v>436</v>
      </c>
      <c r="J25" s="86" t="s">
        <v>437</v>
      </c>
      <c r="K25" s="86" t="s">
        <v>438</v>
      </c>
      <c r="L25" s="86" t="s">
        <v>386</v>
      </c>
      <c r="N25" s="86">
        <v>114</v>
      </c>
      <c r="O25" s="86" t="s">
        <v>377</v>
      </c>
    </row>
    <row r="26" spans="1:15" s="87" customFormat="1">
      <c r="A26" s="86" t="s">
        <v>90</v>
      </c>
      <c r="B26" s="86" t="s">
        <v>439</v>
      </c>
      <c r="C26" s="86" t="s">
        <v>367</v>
      </c>
      <c r="D26" s="86" t="s">
        <v>440</v>
      </c>
      <c r="E26" s="86" t="s">
        <v>369</v>
      </c>
      <c r="F26" s="86" t="s">
        <v>382</v>
      </c>
      <c r="G26" s="86" t="s">
        <v>371</v>
      </c>
      <c r="H26" s="86" t="s">
        <v>372</v>
      </c>
      <c r="I26" s="86" t="s">
        <v>441</v>
      </c>
      <c r="J26" s="86" t="s">
        <v>442</v>
      </c>
      <c r="K26" s="86" t="s">
        <v>443</v>
      </c>
      <c r="L26" s="86" t="s">
        <v>444</v>
      </c>
      <c r="N26" s="86">
        <v>114</v>
      </c>
      <c r="O26" s="86" t="s">
        <v>377</v>
      </c>
    </row>
    <row r="27" spans="1:15" s="87" customFormat="1">
      <c r="A27" s="86" t="s">
        <v>95</v>
      </c>
      <c r="B27" s="86" t="s">
        <v>445</v>
      </c>
      <c r="C27" s="86" t="s">
        <v>367</v>
      </c>
      <c r="D27" s="86" t="s">
        <v>446</v>
      </c>
      <c r="E27" s="86" t="s">
        <v>369</v>
      </c>
      <c r="F27" s="86" t="s">
        <v>447</v>
      </c>
      <c r="G27" s="86" t="s">
        <v>371</v>
      </c>
      <c r="H27" s="86" t="s">
        <v>372</v>
      </c>
      <c r="I27" s="86" t="s">
        <v>448</v>
      </c>
      <c r="J27" s="86" t="s">
        <v>449</v>
      </c>
      <c r="K27" s="86" t="s">
        <v>450</v>
      </c>
      <c r="L27" s="86" t="s">
        <v>376</v>
      </c>
      <c r="N27" s="86">
        <v>114</v>
      </c>
      <c r="O27" s="86" t="s">
        <v>377</v>
      </c>
    </row>
    <row r="28" spans="1:15" s="87" customFormat="1">
      <c r="A28" s="86" t="s">
        <v>451</v>
      </c>
      <c r="B28" s="86" t="s">
        <v>452</v>
      </c>
      <c r="C28" s="86" t="s">
        <v>367</v>
      </c>
      <c r="D28" s="86" t="s">
        <v>453</v>
      </c>
      <c r="E28" s="86" t="s">
        <v>369</v>
      </c>
      <c r="F28" s="86" t="s">
        <v>382</v>
      </c>
      <c r="G28" s="86" t="s">
        <v>371</v>
      </c>
      <c r="H28" s="86" t="s">
        <v>454</v>
      </c>
      <c r="I28" s="86" t="s">
        <v>455</v>
      </c>
      <c r="J28" s="86" t="s">
        <v>456</v>
      </c>
      <c r="K28" s="86" t="s">
        <v>457</v>
      </c>
      <c r="L28" s="86" t="s">
        <v>421</v>
      </c>
      <c r="N28" s="86">
        <v>114</v>
      </c>
      <c r="O28" s="86" t="s">
        <v>377</v>
      </c>
    </row>
    <row r="29" spans="1:15" s="87" customFormat="1">
      <c r="A29" s="86" t="s">
        <v>93</v>
      </c>
      <c r="B29" s="86" t="s">
        <v>458</v>
      </c>
      <c r="C29" s="86" t="s">
        <v>367</v>
      </c>
      <c r="D29" s="86" t="s">
        <v>459</v>
      </c>
      <c r="E29" s="86" t="s">
        <v>369</v>
      </c>
      <c r="F29" s="86" t="s">
        <v>460</v>
      </c>
      <c r="G29" s="86" t="s">
        <v>371</v>
      </c>
      <c r="H29" s="86" t="s">
        <v>454</v>
      </c>
      <c r="I29" s="86" t="s">
        <v>461</v>
      </c>
      <c r="J29" s="86" t="s">
        <v>462</v>
      </c>
      <c r="K29" s="86" t="s">
        <v>463</v>
      </c>
      <c r="L29" s="86" t="s">
        <v>444</v>
      </c>
      <c r="N29" s="86">
        <v>114</v>
      </c>
      <c r="O29" s="86" t="s">
        <v>377</v>
      </c>
    </row>
    <row r="30" spans="1:15" s="87" customFormat="1">
      <c r="A30" s="86" t="s">
        <v>158</v>
      </c>
      <c r="B30" s="86" t="s">
        <v>464</v>
      </c>
      <c r="C30" s="86" t="s">
        <v>367</v>
      </c>
      <c r="D30" s="86" t="s">
        <v>465</v>
      </c>
      <c r="E30" s="86" t="s">
        <v>369</v>
      </c>
      <c r="F30" s="86" t="s">
        <v>417</v>
      </c>
      <c r="G30" s="86" t="s">
        <v>371</v>
      </c>
      <c r="H30" s="86" t="s">
        <v>372</v>
      </c>
      <c r="I30" s="86" t="s">
        <v>466</v>
      </c>
      <c r="J30" s="86" t="s">
        <v>467</v>
      </c>
      <c r="K30" s="86" t="s">
        <v>468</v>
      </c>
      <c r="L30" s="86" t="s">
        <v>393</v>
      </c>
      <c r="N30" s="86">
        <v>114</v>
      </c>
      <c r="O30" s="86" t="s">
        <v>377</v>
      </c>
    </row>
    <row r="31" spans="1:15" s="87" customFormat="1">
      <c r="A31" s="86" t="s">
        <v>72</v>
      </c>
      <c r="B31" s="86" t="s">
        <v>469</v>
      </c>
      <c r="C31" s="86" t="s">
        <v>380</v>
      </c>
      <c r="D31" s="86" t="s">
        <v>470</v>
      </c>
      <c r="E31" s="86" t="s">
        <v>369</v>
      </c>
      <c r="F31" s="86" t="s">
        <v>471</v>
      </c>
      <c r="G31" s="86" t="s">
        <v>371</v>
      </c>
      <c r="H31" s="86" t="s">
        <v>372</v>
      </c>
      <c r="I31" s="86" t="s">
        <v>472</v>
      </c>
      <c r="J31" s="86" t="s">
        <v>473</v>
      </c>
      <c r="K31" s="86" t="s">
        <v>474</v>
      </c>
      <c r="L31" s="86" t="s">
        <v>386</v>
      </c>
      <c r="N31" s="86">
        <v>114</v>
      </c>
      <c r="O31" s="86" t="s">
        <v>377</v>
      </c>
    </row>
    <row r="32" spans="1:15" s="87" customFormat="1">
      <c r="A32" s="86" t="s">
        <v>475</v>
      </c>
      <c r="B32" s="86" t="s">
        <v>476</v>
      </c>
      <c r="C32" s="86" t="s">
        <v>380</v>
      </c>
      <c r="D32" s="86" t="s">
        <v>477</v>
      </c>
      <c r="E32" s="86" t="s">
        <v>369</v>
      </c>
      <c r="F32" s="86" t="s">
        <v>478</v>
      </c>
      <c r="G32" s="86" t="s">
        <v>479</v>
      </c>
      <c r="H32" s="86" t="s">
        <v>372</v>
      </c>
      <c r="I32" s="86" t="s">
        <v>480</v>
      </c>
      <c r="J32" s="86" t="s">
        <v>481</v>
      </c>
      <c r="K32" s="86" t="s">
        <v>482</v>
      </c>
      <c r="L32" s="86" t="s">
        <v>386</v>
      </c>
      <c r="N32" s="86">
        <v>114</v>
      </c>
      <c r="O32" s="86" t="s">
        <v>377</v>
      </c>
    </row>
    <row r="33" spans="1:15" s="87" customFormat="1">
      <c r="A33" s="86" t="s">
        <v>163</v>
      </c>
      <c r="B33" s="86" t="s">
        <v>483</v>
      </c>
      <c r="C33" s="86" t="s">
        <v>380</v>
      </c>
      <c r="D33" s="86" t="s">
        <v>484</v>
      </c>
      <c r="E33" s="86" t="s">
        <v>369</v>
      </c>
      <c r="F33" s="86" t="s">
        <v>485</v>
      </c>
      <c r="G33" s="86" t="s">
        <v>371</v>
      </c>
      <c r="H33" s="86" t="s">
        <v>372</v>
      </c>
      <c r="I33" s="86" t="s">
        <v>486</v>
      </c>
      <c r="J33" s="86" t="s">
        <v>487</v>
      </c>
      <c r="K33" s="86" t="s">
        <v>488</v>
      </c>
      <c r="L33" s="86" t="s">
        <v>386</v>
      </c>
      <c r="N33" s="86">
        <v>114</v>
      </c>
      <c r="O33" s="86" t="s">
        <v>377</v>
      </c>
    </row>
    <row r="34" spans="1:15" s="87" customFormat="1">
      <c r="A34" s="86" t="s">
        <v>167</v>
      </c>
      <c r="B34" s="86" t="s">
        <v>489</v>
      </c>
      <c r="C34" s="86" t="s">
        <v>380</v>
      </c>
      <c r="D34" s="86" t="s">
        <v>490</v>
      </c>
      <c r="E34" s="86" t="s">
        <v>369</v>
      </c>
      <c r="F34" s="86" t="s">
        <v>447</v>
      </c>
      <c r="G34" s="86" t="s">
        <v>371</v>
      </c>
      <c r="H34" s="86" t="s">
        <v>372</v>
      </c>
      <c r="I34" s="86" t="s">
        <v>491</v>
      </c>
      <c r="J34" s="86" t="s">
        <v>492</v>
      </c>
      <c r="K34" s="86" t="s">
        <v>493</v>
      </c>
      <c r="L34" s="86" t="s">
        <v>386</v>
      </c>
      <c r="N34" s="86">
        <v>114</v>
      </c>
      <c r="O34" s="86" t="s">
        <v>377</v>
      </c>
    </row>
    <row r="35" spans="1:15" s="87" customFormat="1">
      <c r="A35" s="86" t="s">
        <v>494</v>
      </c>
      <c r="B35" s="86" t="s">
        <v>495</v>
      </c>
      <c r="C35" s="86" t="s">
        <v>367</v>
      </c>
      <c r="D35" s="86" t="s">
        <v>496</v>
      </c>
      <c r="E35" s="86" t="s">
        <v>369</v>
      </c>
      <c r="F35" s="86" t="s">
        <v>382</v>
      </c>
      <c r="G35" s="86" t="s">
        <v>371</v>
      </c>
      <c r="H35" s="86" t="s">
        <v>372</v>
      </c>
      <c r="I35" s="86" t="s">
        <v>497</v>
      </c>
      <c r="J35" s="86" t="s">
        <v>498</v>
      </c>
      <c r="K35" s="86" t="s">
        <v>499</v>
      </c>
      <c r="L35" s="86" t="s">
        <v>444</v>
      </c>
      <c r="N35" s="86">
        <v>114</v>
      </c>
      <c r="O35" s="86" t="s">
        <v>377</v>
      </c>
    </row>
    <row r="36" spans="1:15" s="87" customFormat="1">
      <c r="A36" s="86" t="s">
        <v>111</v>
      </c>
      <c r="B36" s="86" t="s">
        <v>500</v>
      </c>
      <c r="C36" s="86" t="s">
        <v>367</v>
      </c>
      <c r="D36" s="86" t="s">
        <v>501</v>
      </c>
      <c r="E36" s="86" t="s">
        <v>369</v>
      </c>
      <c r="F36" s="86" t="s">
        <v>382</v>
      </c>
      <c r="G36" s="86" t="s">
        <v>371</v>
      </c>
      <c r="H36" s="86" t="s">
        <v>454</v>
      </c>
      <c r="I36" s="86" t="s">
        <v>502</v>
      </c>
      <c r="J36" s="86" t="s">
        <v>503</v>
      </c>
      <c r="K36" s="86" t="s">
        <v>504</v>
      </c>
      <c r="L36" s="86" t="s">
        <v>505</v>
      </c>
      <c r="N36" s="86">
        <v>114</v>
      </c>
      <c r="O36" s="86" t="s">
        <v>377</v>
      </c>
    </row>
    <row r="37" spans="1:15" s="87" customFormat="1">
      <c r="A37" s="86" t="s">
        <v>506</v>
      </c>
      <c r="B37" s="86" t="s">
        <v>507</v>
      </c>
      <c r="C37" s="86" t="s">
        <v>380</v>
      </c>
      <c r="D37" s="86" t="s">
        <v>508</v>
      </c>
      <c r="E37" s="86" t="s">
        <v>369</v>
      </c>
      <c r="F37" s="86" t="s">
        <v>382</v>
      </c>
      <c r="G37" s="86" t="s">
        <v>371</v>
      </c>
      <c r="H37" s="86" t="s">
        <v>372</v>
      </c>
      <c r="I37" s="86" t="s">
        <v>509</v>
      </c>
      <c r="J37" s="86" t="s">
        <v>510</v>
      </c>
      <c r="K37" s="86" t="s">
        <v>511</v>
      </c>
      <c r="L37" s="86" t="s">
        <v>386</v>
      </c>
      <c r="N37" s="86">
        <v>114</v>
      </c>
      <c r="O37" s="86" t="s">
        <v>377</v>
      </c>
    </row>
    <row r="38" spans="1:15" s="87" customFormat="1">
      <c r="A38" s="86" t="s">
        <v>512</v>
      </c>
      <c r="B38" s="86" t="s">
        <v>513</v>
      </c>
      <c r="C38" s="86" t="s">
        <v>380</v>
      </c>
      <c r="D38" s="86" t="s">
        <v>514</v>
      </c>
      <c r="E38" s="86" t="s">
        <v>369</v>
      </c>
      <c r="F38" s="86" t="s">
        <v>417</v>
      </c>
      <c r="G38" s="86" t="s">
        <v>371</v>
      </c>
      <c r="H38" s="86" t="s">
        <v>372</v>
      </c>
      <c r="I38" s="86" t="s">
        <v>515</v>
      </c>
      <c r="J38" s="86" t="s">
        <v>516</v>
      </c>
      <c r="K38" s="86" t="s">
        <v>517</v>
      </c>
      <c r="L38" s="86" t="s">
        <v>386</v>
      </c>
      <c r="N38" s="86">
        <v>114</v>
      </c>
      <c r="O38" s="86" t="s">
        <v>377</v>
      </c>
    </row>
    <row r="39" spans="1:15" s="87" customFormat="1">
      <c r="A39" s="86" t="s">
        <v>16</v>
      </c>
      <c r="B39" s="86" t="s">
        <v>518</v>
      </c>
      <c r="C39" s="86" t="s">
        <v>380</v>
      </c>
      <c r="D39" s="86" t="s">
        <v>519</v>
      </c>
      <c r="E39" s="86" t="s">
        <v>369</v>
      </c>
      <c r="F39" s="86" t="s">
        <v>417</v>
      </c>
      <c r="G39" s="86" t="s">
        <v>371</v>
      </c>
      <c r="H39" s="86" t="s">
        <v>372</v>
      </c>
      <c r="I39" s="86" t="s">
        <v>520</v>
      </c>
      <c r="J39" s="86" t="s">
        <v>521</v>
      </c>
      <c r="K39" s="86" t="s">
        <v>522</v>
      </c>
      <c r="L39" s="86" t="s">
        <v>386</v>
      </c>
      <c r="N39" s="86">
        <v>114</v>
      </c>
      <c r="O39" s="86" t="s">
        <v>377</v>
      </c>
    </row>
    <row r="40" spans="1:15" s="87" customFormat="1">
      <c r="A40" s="86" t="s">
        <v>523</v>
      </c>
      <c r="B40" s="86" t="s">
        <v>524</v>
      </c>
      <c r="C40" s="86" t="s">
        <v>367</v>
      </c>
      <c r="D40" s="86" t="s">
        <v>525</v>
      </c>
      <c r="E40" s="86" t="s">
        <v>369</v>
      </c>
      <c r="F40" s="86" t="s">
        <v>471</v>
      </c>
      <c r="G40" s="86" t="s">
        <v>371</v>
      </c>
      <c r="H40" s="86" t="s">
        <v>526</v>
      </c>
      <c r="I40" s="86" t="s">
        <v>527</v>
      </c>
      <c r="J40" s="86" t="s">
        <v>528</v>
      </c>
      <c r="K40" s="86" t="s">
        <v>529</v>
      </c>
      <c r="L40" s="86" t="s">
        <v>421</v>
      </c>
      <c r="N40" s="86">
        <v>114</v>
      </c>
      <c r="O40" s="86" t="s">
        <v>377</v>
      </c>
    </row>
    <row r="41" spans="1:15" s="87" customFormat="1">
      <c r="A41" s="86" t="s">
        <v>530</v>
      </c>
      <c r="B41" s="86" t="s">
        <v>531</v>
      </c>
      <c r="C41" s="86" t="s">
        <v>367</v>
      </c>
      <c r="D41" s="86" t="s">
        <v>532</v>
      </c>
      <c r="E41" s="86" t="s">
        <v>369</v>
      </c>
      <c r="F41" s="86" t="s">
        <v>382</v>
      </c>
      <c r="G41" s="86" t="s">
        <v>371</v>
      </c>
      <c r="H41" s="86" t="s">
        <v>454</v>
      </c>
      <c r="I41" s="86" t="s">
        <v>533</v>
      </c>
      <c r="J41" s="86" t="s">
        <v>534</v>
      </c>
      <c r="K41" s="86" t="s">
        <v>535</v>
      </c>
      <c r="L41" s="86" t="s">
        <v>421</v>
      </c>
      <c r="N41" s="86">
        <v>114</v>
      </c>
      <c r="O41" s="86" t="s">
        <v>377</v>
      </c>
    </row>
    <row r="42" spans="1:15" s="87" customFormat="1">
      <c r="A42" s="86" t="s">
        <v>188</v>
      </c>
      <c r="B42" s="86" t="s">
        <v>536</v>
      </c>
      <c r="C42" s="86" t="s">
        <v>367</v>
      </c>
      <c r="D42" s="86" t="s">
        <v>537</v>
      </c>
      <c r="E42" s="86" t="s">
        <v>369</v>
      </c>
      <c r="F42" s="86" t="s">
        <v>370</v>
      </c>
      <c r="G42" s="86" t="s">
        <v>371</v>
      </c>
      <c r="H42" s="86" t="s">
        <v>372</v>
      </c>
      <c r="I42" s="86" t="s">
        <v>538</v>
      </c>
      <c r="J42" s="86" t="s">
        <v>539</v>
      </c>
      <c r="K42" s="86" t="s">
        <v>540</v>
      </c>
      <c r="L42" s="86" t="s">
        <v>376</v>
      </c>
      <c r="N42" s="86">
        <v>114</v>
      </c>
      <c r="O42" s="86" t="s">
        <v>377</v>
      </c>
    </row>
    <row r="43" spans="1:15" s="87" customFormat="1">
      <c r="A43" s="86" t="s">
        <v>98</v>
      </c>
      <c r="B43" s="86" t="s">
        <v>541</v>
      </c>
      <c r="C43" s="86" t="s">
        <v>367</v>
      </c>
      <c r="D43" s="86" t="s">
        <v>542</v>
      </c>
      <c r="E43" s="86" t="s">
        <v>369</v>
      </c>
      <c r="F43" s="86" t="s">
        <v>471</v>
      </c>
      <c r="G43" s="86" t="s">
        <v>371</v>
      </c>
      <c r="H43" s="86" t="s">
        <v>372</v>
      </c>
      <c r="I43" s="86" t="s">
        <v>543</v>
      </c>
      <c r="J43" s="86" t="s">
        <v>544</v>
      </c>
      <c r="K43" s="86" t="s">
        <v>545</v>
      </c>
      <c r="L43" s="86" t="s">
        <v>393</v>
      </c>
      <c r="N43" s="86">
        <v>114</v>
      </c>
      <c r="O43" s="86" t="s">
        <v>377</v>
      </c>
    </row>
    <row r="44" spans="1:15" s="87" customFormat="1">
      <c r="A44" s="86" t="s">
        <v>546</v>
      </c>
      <c r="B44" s="86" t="s">
        <v>547</v>
      </c>
      <c r="C44" s="86" t="s">
        <v>367</v>
      </c>
      <c r="D44" s="86" t="s">
        <v>548</v>
      </c>
      <c r="E44" s="86" t="s">
        <v>369</v>
      </c>
      <c r="F44" s="86" t="s">
        <v>447</v>
      </c>
      <c r="G44" s="86" t="s">
        <v>371</v>
      </c>
      <c r="H44" s="86" t="s">
        <v>372</v>
      </c>
      <c r="I44" s="86" t="s">
        <v>549</v>
      </c>
      <c r="J44" s="86" t="s">
        <v>550</v>
      </c>
      <c r="K44" s="86" t="s">
        <v>551</v>
      </c>
      <c r="L44" s="86" t="s">
        <v>444</v>
      </c>
      <c r="N44" s="86">
        <v>114</v>
      </c>
      <c r="O44" s="86" t="s">
        <v>377</v>
      </c>
    </row>
    <row r="45" spans="1:15" s="87" customFormat="1">
      <c r="A45" s="86" t="s">
        <v>173</v>
      </c>
      <c r="B45" s="86" t="s">
        <v>552</v>
      </c>
      <c r="C45" s="86" t="s">
        <v>367</v>
      </c>
      <c r="D45" s="86" t="s">
        <v>553</v>
      </c>
      <c r="E45" s="86" t="s">
        <v>369</v>
      </c>
      <c r="F45" s="86" t="s">
        <v>382</v>
      </c>
      <c r="G45" s="86" t="s">
        <v>371</v>
      </c>
      <c r="H45" s="86" t="s">
        <v>454</v>
      </c>
      <c r="I45" s="86" t="s">
        <v>554</v>
      </c>
      <c r="J45" s="86" t="s">
        <v>555</v>
      </c>
      <c r="K45" s="86" t="s">
        <v>556</v>
      </c>
      <c r="L45" s="86" t="s">
        <v>505</v>
      </c>
      <c r="N45" s="86">
        <v>114</v>
      </c>
      <c r="O45" s="86" t="s">
        <v>377</v>
      </c>
    </row>
    <row r="46" spans="1:15" s="87" customFormat="1">
      <c r="A46" s="86" t="s">
        <v>104</v>
      </c>
      <c r="B46" s="86" t="s">
        <v>557</v>
      </c>
      <c r="C46" s="86" t="s">
        <v>367</v>
      </c>
      <c r="D46" s="86" t="s">
        <v>558</v>
      </c>
      <c r="E46" s="86" t="s">
        <v>369</v>
      </c>
      <c r="F46" s="86" t="s">
        <v>559</v>
      </c>
      <c r="G46" s="86" t="s">
        <v>371</v>
      </c>
      <c r="H46" s="86" t="s">
        <v>372</v>
      </c>
      <c r="I46" s="86" t="s">
        <v>560</v>
      </c>
      <c r="J46" s="86" t="s">
        <v>561</v>
      </c>
      <c r="K46" s="86" t="s">
        <v>562</v>
      </c>
      <c r="L46" s="86" t="s">
        <v>376</v>
      </c>
      <c r="N46" s="86">
        <v>114</v>
      </c>
      <c r="O46" s="86" t="s">
        <v>377</v>
      </c>
    </row>
    <row r="47" spans="1:15" s="87" customFormat="1">
      <c r="A47" s="86" t="s">
        <v>563</v>
      </c>
      <c r="B47" s="86" t="s">
        <v>564</v>
      </c>
      <c r="C47" s="86" t="s">
        <v>380</v>
      </c>
      <c r="D47" s="86" t="s">
        <v>565</v>
      </c>
      <c r="E47" s="86" t="s">
        <v>369</v>
      </c>
      <c r="F47" s="86" t="s">
        <v>566</v>
      </c>
      <c r="G47" s="86" t="s">
        <v>371</v>
      </c>
      <c r="H47" s="86" t="s">
        <v>372</v>
      </c>
      <c r="I47" s="86" t="s">
        <v>567</v>
      </c>
      <c r="J47" s="86" t="s">
        <v>568</v>
      </c>
      <c r="K47" s="86" t="s">
        <v>569</v>
      </c>
      <c r="L47" s="86" t="s">
        <v>386</v>
      </c>
      <c r="N47" s="86">
        <v>114</v>
      </c>
      <c r="O47" s="86" t="s">
        <v>377</v>
      </c>
    </row>
    <row r="48" spans="1:15" s="87" customFormat="1">
      <c r="A48" s="86" t="s">
        <v>140</v>
      </c>
      <c r="B48" s="86" t="s">
        <v>570</v>
      </c>
      <c r="C48" s="86" t="s">
        <v>367</v>
      </c>
      <c r="D48" s="86" t="s">
        <v>571</v>
      </c>
      <c r="E48" s="86" t="s">
        <v>369</v>
      </c>
      <c r="F48" s="86" t="s">
        <v>403</v>
      </c>
      <c r="G48" s="86" t="s">
        <v>371</v>
      </c>
      <c r="H48" s="86" t="s">
        <v>372</v>
      </c>
      <c r="I48" s="86" t="s">
        <v>572</v>
      </c>
      <c r="J48" s="86" t="s">
        <v>573</v>
      </c>
      <c r="K48" s="86" t="s">
        <v>574</v>
      </c>
      <c r="L48" s="86" t="s">
        <v>376</v>
      </c>
      <c r="N48" s="86">
        <v>114</v>
      </c>
      <c r="O48" s="86" t="s">
        <v>377</v>
      </c>
    </row>
    <row r="49" spans="1:15" s="87" customFormat="1">
      <c r="A49" s="86" t="s">
        <v>575</v>
      </c>
      <c r="B49" s="86" t="s">
        <v>576</v>
      </c>
      <c r="C49" s="86" t="s">
        <v>380</v>
      </c>
      <c r="D49" s="86" t="s">
        <v>577</v>
      </c>
      <c r="E49" s="86" t="s">
        <v>369</v>
      </c>
      <c r="F49" s="86" t="s">
        <v>578</v>
      </c>
      <c r="G49" s="86" t="s">
        <v>371</v>
      </c>
      <c r="H49" s="86" t="s">
        <v>526</v>
      </c>
      <c r="I49" s="86" t="s">
        <v>579</v>
      </c>
      <c r="J49" s="86" t="s">
        <v>580</v>
      </c>
      <c r="K49" s="86" t="s">
        <v>581</v>
      </c>
      <c r="L49" s="86" t="s">
        <v>386</v>
      </c>
      <c r="N49" s="86">
        <v>114</v>
      </c>
      <c r="O49" s="86" t="s">
        <v>377</v>
      </c>
    </row>
    <row r="50" spans="1:15" s="87" customFormat="1">
      <c r="A50" s="86" t="s">
        <v>582</v>
      </c>
      <c r="B50" s="86" t="s">
        <v>583</v>
      </c>
      <c r="C50" s="86" t="s">
        <v>367</v>
      </c>
      <c r="D50" s="86" t="s">
        <v>584</v>
      </c>
      <c r="E50" s="86" t="s">
        <v>369</v>
      </c>
      <c r="F50" s="86" t="s">
        <v>471</v>
      </c>
      <c r="G50" s="86" t="s">
        <v>371</v>
      </c>
      <c r="H50" s="86" t="s">
        <v>372</v>
      </c>
      <c r="I50" s="86" t="s">
        <v>585</v>
      </c>
      <c r="J50" s="86" t="s">
        <v>586</v>
      </c>
      <c r="K50" s="86" t="s">
        <v>587</v>
      </c>
      <c r="L50" s="86" t="s">
        <v>376</v>
      </c>
      <c r="N50" s="86">
        <v>114</v>
      </c>
      <c r="O50" s="86" t="s">
        <v>377</v>
      </c>
    </row>
    <row r="51" spans="1:15" s="87" customFormat="1">
      <c r="A51" s="86" t="s">
        <v>588</v>
      </c>
      <c r="B51" s="86" t="s">
        <v>589</v>
      </c>
      <c r="C51" s="86" t="s">
        <v>367</v>
      </c>
      <c r="D51" s="86" t="s">
        <v>590</v>
      </c>
      <c r="E51" s="86" t="s">
        <v>369</v>
      </c>
      <c r="F51" s="86" t="s">
        <v>471</v>
      </c>
      <c r="G51" s="86" t="s">
        <v>371</v>
      </c>
      <c r="H51" s="86" t="s">
        <v>372</v>
      </c>
      <c r="I51" s="86" t="s">
        <v>591</v>
      </c>
      <c r="J51" s="86" t="s">
        <v>592</v>
      </c>
      <c r="K51" s="86" t="s">
        <v>593</v>
      </c>
      <c r="L51" s="86" t="s">
        <v>376</v>
      </c>
      <c r="N51" s="86">
        <v>114</v>
      </c>
      <c r="O51" s="86" t="s">
        <v>377</v>
      </c>
    </row>
    <row r="52" spans="1:15" s="87" customFormat="1">
      <c r="A52" s="86" t="s">
        <v>594</v>
      </c>
      <c r="B52" s="86" t="s">
        <v>595</v>
      </c>
      <c r="C52" s="86" t="s">
        <v>367</v>
      </c>
      <c r="D52" s="86" t="s">
        <v>596</v>
      </c>
      <c r="E52" s="86" t="s">
        <v>597</v>
      </c>
      <c r="F52" s="86" t="s">
        <v>471</v>
      </c>
      <c r="G52" s="86" t="s">
        <v>371</v>
      </c>
      <c r="H52" s="86" t="s">
        <v>372</v>
      </c>
      <c r="I52" s="86" t="s">
        <v>598</v>
      </c>
      <c r="J52" s="86" t="s">
        <v>599</v>
      </c>
      <c r="K52" s="86" t="s">
        <v>600</v>
      </c>
      <c r="L52" s="86" t="s">
        <v>386</v>
      </c>
      <c r="N52" s="86">
        <v>114</v>
      </c>
      <c r="O52" s="86" t="s">
        <v>377</v>
      </c>
    </row>
    <row r="53" spans="1:15" s="87" customFormat="1">
      <c r="A53" s="86" t="s">
        <v>182</v>
      </c>
      <c r="B53" s="86" t="s">
        <v>601</v>
      </c>
      <c r="C53" s="86" t="s">
        <v>380</v>
      </c>
      <c r="D53" s="86" t="s">
        <v>602</v>
      </c>
      <c r="E53" s="86" t="s">
        <v>369</v>
      </c>
      <c r="F53" s="86" t="s">
        <v>478</v>
      </c>
      <c r="G53" s="86" t="s">
        <v>479</v>
      </c>
      <c r="H53" s="86" t="s">
        <v>372</v>
      </c>
      <c r="I53" s="86" t="s">
        <v>603</v>
      </c>
      <c r="J53" s="86" t="s">
        <v>604</v>
      </c>
      <c r="K53" s="86" t="s">
        <v>605</v>
      </c>
      <c r="L53" s="86" t="s">
        <v>386</v>
      </c>
      <c r="N53" s="86">
        <v>114</v>
      </c>
      <c r="O53" s="86" t="s">
        <v>377</v>
      </c>
    </row>
    <row r="54" spans="1:15" s="87" customFormat="1">
      <c r="A54" s="86" t="s">
        <v>148</v>
      </c>
      <c r="B54" s="86" t="s">
        <v>606</v>
      </c>
      <c r="C54" s="86" t="s">
        <v>367</v>
      </c>
      <c r="D54" s="86" t="s">
        <v>607</v>
      </c>
      <c r="E54" s="86" t="s">
        <v>369</v>
      </c>
      <c r="F54" s="86" t="s">
        <v>417</v>
      </c>
      <c r="G54" s="86" t="s">
        <v>371</v>
      </c>
      <c r="H54" s="86" t="s">
        <v>372</v>
      </c>
      <c r="I54" s="86" t="s">
        <v>608</v>
      </c>
      <c r="J54" s="86" t="s">
        <v>609</v>
      </c>
      <c r="K54" s="86" t="s">
        <v>610</v>
      </c>
      <c r="L54" s="86" t="s">
        <v>376</v>
      </c>
      <c r="N54" s="86">
        <v>114</v>
      </c>
      <c r="O54" s="86" t="s">
        <v>377</v>
      </c>
    </row>
    <row r="55" spans="1:15" s="87" customFormat="1">
      <c r="A55" s="86" t="s">
        <v>101</v>
      </c>
      <c r="B55" s="86" t="s">
        <v>611</v>
      </c>
      <c r="C55" s="86" t="s">
        <v>380</v>
      </c>
      <c r="D55" s="86" t="s">
        <v>612</v>
      </c>
      <c r="E55" s="86" t="s">
        <v>369</v>
      </c>
      <c r="F55" s="86" t="s">
        <v>382</v>
      </c>
      <c r="G55" s="86" t="s">
        <v>371</v>
      </c>
      <c r="H55" s="86" t="s">
        <v>372</v>
      </c>
      <c r="I55" s="86" t="s">
        <v>613</v>
      </c>
      <c r="J55" s="86" t="s">
        <v>614</v>
      </c>
      <c r="K55" s="86" t="s">
        <v>615</v>
      </c>
      <c r="L55" s="86" t="s">
        <v>386</v>
      </c>
      <c r="N55" s="86">
        <v>114</v>
      </c>
      <c r="O55" s="86" t="s">
        <v>377</v>
      </c>
    </row>
    <row r="57" spans="1:15" s="90" customFormat="1">
      <c r="A57" s="90" t="s">
        <v>4</v>
      </c>
      <c r="B57" s="90" t="s">
        <v>699</v>
      </c>
      <c r="C57" s="90" t="s">
        <v>701</v>
      </c>
      <c r="D57" s="90" t="s">
        <v>702</v>
      </c>
      <c r="E57" s="90" t="s">
        <v>703</v>
      </c>
      <c r="F57" s="90" t="s">
        <v>704</v>
      </c>
      <c r="G57" s="90" t="s">
        <v>705</v>
      </c>
      <c r="H57" s="90" t="s">
        <v>706</v>
      </c>
      <c r="I57" s="90" t="s">
        <v>707</v>
      </c>
      <c r="J57" s="90" t="s">
        <v>708</v>
      </c>
      <c r="K57" s="90" t="s">
        <v>711</v>
      </c>
      <c r="L57" s="90" t="s">
        <v>709</v>
      </c>
      <c r="M57" s="90" t="s">
        <v>710</v>
      </c>
      <c r="O57" s="90" t="s">
        <v>712</v>
      </c>
    </row>
    <row r="58" spans="1:15" s="90" customFormat="1">
      <c r="A58" s="90" t="s">
        <v>714</v>
      </c>
      <c r="B58" s="90" t="s">
        <v>713</v>
      </c>
      <c r="C58" s="90" t="s">
        <v>380</v>
      </c>
      <c r="D58" s="90" t="s">
        <v>715</v>
      </c>
      <c r="E58" s="90" t="s">
        <v>369</v>
      </c>
      <c r="F58" s="90" t="s">
        <v>403</v>
      </c>
      <c r="G58" s="90" t="s">
        <v>371</v>
      </c>
      <c r="H58" s="90" t="s">
        <v>716</v>
      </c>
      <c r="I58" s="90" t="s">
        <v>717</v>
      </c>
      <c r="J58" s="90" t="s">
        <v>718</v>
      </c>
      <c r="K58" s="90" t="s">
        <v>719</v>
      </c>
      <c r="L58" s="90" t="s">
        <v>444</v>
      </c>
      <c r="M58" s="90" t="s">
        <v>386</v>
      </c>
      <c r="O58" s="90" t="s">
        <v>386</v>
      </c>
    </row>
    <row r="59" spans="1:15" s="90" customFormat="1">
      <c r="A59" s="90" t="s">
        <v>721</v>
      </c>
      <c r="B59" s="90" t="s">
        <v>720</v>
      </c>
      <c r="C59" s="90" t="s">
        <v>380</v>
      </c>
      <c r="D59" s="90" t="s">
        <v>659</v>
      </c>
      <c r="E59" s="90" t="s">
        <v>369</v>
      </c>
      <c r="F59" s="90" t="s">
        <v>382</v>
      </c>
      <c r="G59" s="90" t="s">
        <v>371</v>
      </c>
      <c r="H59" s="90" t="s">
        <v>372</v>
      </c>
      <c r="I59" s="90" t="s">
        <v>722</v>
      </c>
      <c r="J59" s="90" t="s">
        <v>723</v>
      </c>
      <c r="K59" s="90" t="s">
        <v>724</v>
      </c>
      <c r="L59" s="90" t="s">
        <v>444</v>
      </c>
      <c r="M59" s="90" t="s">
        <v>386</v>
      </c>
      <c r="O59" s="90" t="s">
        <v>386</v>
      </c>
    </row>
    <row r="60" spans="1:15" s="90" customFormat="1">
      <c r="A60" s="90" t="s">
        <v>260</v>
      </c>
      <c r="B60" s="90" t="s">
        <v>725</v>
      </c>
      <c r="C60" s="90" t="s">
        <v>367</v>
      </c>
      <c r="D60" s="90" t="s">
        <v>726</v>
      </c>
      <c r="E60" s="90" t="s">
        <v>369</v>
      </c>
      <c r="F60" s="90" t="s">
        <v>382</v>
      </c>
      <c r="G60" s="90" t="s">
        <v>371</v>
      </c>
      <c r="H60" s="90" t="s">
        <v>372</v>
      </c>
      <c r="I60" s="90" t="s">
        <v>727</v>
      </c>
      <c r="J60" s="90" t="s">
        <v>728</v>
      </c>
      <c r="K60" s="90" t="s">
        <v>730</v>
      </c>
      <c r="L60" s="90" t="s">
        <v>505</v>
      </c>
      <c r="M60" s="90" t="s">
        <v>729</v>
      </c>
      <c r="O60" s="90" t="s">
        <v>386</v>
      </c>
    </row>
    <row r="61" spans="1:15" s="90" customFormat="1">
      <c r="A61" s="90" t="s">
        <v>264</v>
      </c>
      <c r="B61" s="90" t="s">
        <v>731</v>
      </c>
      <c r="C61" s="90" t="s">
        <v>367</v>
      </c>
      <c r="D61" s="90" t="s">
        <v>732</v>
      </c>
      <c r="E61" s="90" t="s">
        <v>369</v>
      </c>
      <c r="F61" s="90" t="s">
        <v>447</v>
      </c>
      <c r="G61" s="90" t="s">
        <v>371</v>
      </c>
      <c r="H61" s="90" t="s">
        <v>716</v>
      </c>
      <c r="I61" s="90" t="s">
        <v>733</v>
      </c>
      <c r="J61" s="90" t="s">
        <v>734</v>
      </c>
      <c r="K61" s="90" t="s">
        <v>735</v>
      </c>
      <c r="L61" s="90" t="s">
        <v>376</v>
      </c>
      <c r="M61" s="90" t="s">
        <v>386</v>
      </c>
      <c r="O61" s="90" t="s">
        <v>386</v>
      </c>
    </row>
    <row r="62" spans="1:15" s="90" customFormat="1">
      <c r="A62" s="90" t="s">
        <v>268</v>
      </c>
      <c r="B62" s="90" t="s">
        <v>736</v>
      </c>
      <c r="C62" s="90" t="s">
        <v>380</v>
      </c>
      <c r="D62" s="90" t="s">
        <v>737</v>
      </c>
      <c r="E62" s="90" t="s">
        <v>369</v>
      </c>
      <c r="F62" s="90" t="s">
        <v>566</v>
      </c>
      <c r="G62" s="90" t="s">
        <v>371</v>
      </c>
      <c r="H62" s="90" t="s">
        <v>716</v>
      </c>
      <c r="I62" s="90" t="s">
        <v>738</v>
      </c>
      <c r="J62" s="90" t="s">
        <v>739</v>
      </c>
      <c r="K62" s="90" t="s">
        <v>740</v>
      </c>
      <c r="L62" s="90" t="s">
        <v>444</v>
      </c>
      <c r="M62" s="90" t="s">
        <v>386</v>
      </c>
      <c r="O62" s="90" t="s">
        <v>386</v>
      </c>
    </row>
    <row r="63" spans="1:15" s="90" customFormat="1">
      <c r="A63" s="90" t="s">
        <v>273</v>
      </c>
      <c r="B63" s="90" t="s">
        <v>741</v>
      </c>
      <c r="C63" s="90" t="s">
        <v>380</v>
      </c>
      <c r="D63" s="90" t="s">
        <v>742</v>
      </c>
      <c r="E63" s="90" t="s">
        <v>369</v>
      </c>
      <c r="F63" s="90" t="s">
        <v>471</v>
      </c>
      <c r="G63" s="90" t="s">
        <v>371</v>
      </c>
      <c r="H63" s="90" t="s">
        <v>716</v>
      </c>
      <c r="I63" s="90" t="s">
        <v>743</v>
      </c>
      <c r="J63" s="90" t="s">
        <v>744</v>
      </c>
      <c r="K63" s="90" t="s">
        <v>745</v>
      </c>
      <c r="L63" s="90" t="s">
        <v>444</v>
      </c>
      <c r="M63" s="90" t="s">
        <v>386</v>
      </c>
      <c r="O63" s="90" t="s">
        <v>386</v>
      </c>
    </row>
    <row r="64" spans="1:15" s="90" customFormat="1">
      <c r="A64" s="90" t="s">
        <v>276</v>
      </c>
      <c r="B64" s="90" t="s">
        <v>746</v>
      </c>
      <c r="C64" s="90" t="s">
        <v>380</v>
      </c>
      <c r="D64" s="90" t="s">
        <v>747</v>
      </c>
      <c r="E64" s="90" t="s">
        <v>369</v>
      </c>
      <c r="F64" s="90" t="s">
        <v>370</v>
      </c>
      <c r="G64" s="90" t="s">
        <v>371</v>
      </c>
      <c r="H64" s="90" t="s">
        <v>716</v>
      </c>
      <c r="I64" s="90" t="s">
        <v>748</v>
      </c>
      <c r="J64" s="90" t="s">
        <v>749</v>
      </c>
      <c r="K64" s="90" t="s">
        <v>750</v>
      </c>
      <c r="L64" s="90" t="s">
        <v>444</v>
      </c>
      <c r="M64" s="90" t="s">
        <v>386</v>
      </c>
      <c r="O64" s="90" t="s">
        <v>751</v>
      </c>
    </row>
    <row r="65" spans="1:15" s="90" customFormat="1">
      <c r="A65" s="90" t="s">
        <v>279</v>
      </c>
      <c r="B65" s="90" t="s">
        <v>752</v>
      </c>
      <c r="C65" s="90" t="s">
        <v>367</v>
      </c>
      <c r="D65" s="90" t="s">
        <v>753</v>
      </c>
      <c r="E65" s="90" t="s">
        <v>369</v>
      </c>
      <c r="F65" s="90" t="s">
        <v>447</v>
      </c>
      <c r="G65" s="90" t="s">
        <v>371</v>
      </c>
      <c r="H65" s="90" t="s">
        <v>716</v>
      </c>
      <c r="I65" s="90" t="s">
        <v>754</v>
      </c>
      <c r="J65" s="90" t="s">
        <v>755</v>
      </c>
      <c r="K65" s="90" t="s">
        <v>756</v>
      </c>
      <c r="L65" s="90" t="s">
        <v>376</v>
      </c>
      <c r="M65" s="90" t="s">
        <v>386</v>
      </c>
      <c r="O65" s="90" t="s">
        <v>386</v>
      </c>
    </row>
    <row r="66" spans="1:15" s="90" customFormat="1">
      <c r="A66" s="90" t="s">
        <v>283</v>
      </c>
      <c r="B66" s="90" t="s">
        <v>757</v>
      </c>
      <c r="C66" s="90" t="s">
        <v>380</v>
      </c>
      <c r="D66" s="90" t="s">
        <v>758</v>
      </c>
      <c r="E66" s="90" t="s">
        <v>369</v>
      </c>
      <c r="F66" s="90" t="s">
        <v>417</v>
      </c>
      <c r="G66" s="90" t="s">
        <v>479</v>
      </c>
      <c r="H66" s="90" t="s">
        <v>716</v>
      </c>
      <c r="I66" s="90" t="s">
        <v>759</v>
      </c>
      <c r="J66" s="90" t="s">
        <v>760</v>
      </c>
      <c r="K66" s="90" t="s">
        <v>761</v>
      </c>
      <c r="L66" s="90" t="s">
        <v>444</v>
      </c>
      <c r="M66" s="90" t="s">
        <v>386</v>
      </c>
      <c r="O66" s="90" t="s">
        <v>386</v>
      </c>
    </row>
    <row r="67" spans="1:15" s="90" customFormat="1">
      <c r="A67" s="90" t="s">
        <v>286</v>
      </c>
      <c r="B67" s="90" t="s">
        <v>762</v>
      </c>
      <c r="C67" s="90" t="s">
        <v>367</v>
      </c>
      <c r="D67" s="90" t="s">
        <v>763</v>
      </c>
      <c r="E67" s="90" t="s">
        <v>369</v>
      </c>
      <c r="F67" s="90" t="s">
        <v>417</v>
      </c>
      <c r="G67" s="90" t="s">
        <v>371</v>
      </c>
      <c r="H67" s="90" t="s">
        <v>716</v>
      </c>
      <c r="I67" s="90" t="s">
        <v>764</v>
      </c>
      <c r="J67" s="90" t="s">
        <v>765</v>
      </c>
      <c r="K67" s="90" t="s">
        <v>766</v>
      </c>
      <c r="L67" s="90" t="s">
        <v>393</v>
      </c>
      <c r="M67" s="90" t="s">
        <v>386</v>
      </c>
      <c r="O67" s="90" t="s">
        <v>386</v>
      </c>
    </row>
    <row r="68" spans="1:15" s="90" customFormat="1">
      <c r="A68" s="90" t="s">
        <v>271</v>
      </c>
      <c r="B68" s="90" t="s">
        <v>767</v>
      </c>
      <c r="C68" s="90" t="s">
        <v>380</v>
      </c>
      <c r="D68" s="90" t="s">
        <v>768</v>
      </c>
      <c r="E68" s="90" t="s">
        <v>369</v>
      </c>
      <c r="F68" s="90" t="s">
        <v>417</v>
      </c>
      <c r="G68" s="90" t="s">
        <v>371</v>
      </c>
      <c r="H68" s="90" t="s">
        <v>716</v>
      </c>
      <c r="I68" s="90" t="s">
        <v>769</v>
      </c>
      <c r="J68" s="90" t="s">
        <v>770</v>
      </c>
      <c r="K68" s="90" t="s">
        <v>771</v>
      </c>
      <c r="L68" s="90" t="s">
        <v>444</v>
      </c>
      <c r="M68" s="90" t="s">
        <v>386</v>
      </c>
      <c r="O68" s="90" t="s">
        <v>386</v>
      </c>
    </row>
    <row r="69" spans="1:15" s="90" customFormat="1">
      <c r="A69" s="90" t="s">
        <v>291</v>
      </c>
      <c r="B69" s="90" t="s">
        <v>772</v>
      </c>
      <c r="C69" s="90" t="s">
        <v>367</v>
      </c>
      <c r="D69" s="90" t="s">
        <v>773</v>
      </c>
      <c r="E69" s="90" t="s">
        <v>369</v>
      </c>
      <c r="F69" s="90" t="s">
        <v>417</v>
      </c>
      <c r="G69" s="90" t="s">
        <v>371</v>
      </c>
      <c r="H69" s="90" t="s">
        <v>716</v>
      </c>
      <c r="I69" s="90" t="s">
        <v>774</v>
      </c>
      <c r="J69" s="90" t="s">
        <v>775</v>
      </c>
      <c r="K69" s="90" t="s">
        <v>776</v>
      </c>
      <c r="L69" s="90" t="s">
        <v>421</v>
      </c>
      <c r="M69" s="90" t="s">
        <v>386</v>
      </c>
      <c r="O69" s="90" t="s">
        <v>386</v>
      </c>
    </row>
    <row r="70" spans="1:15" s="90" customFormat="1">
      <c r="A70" s="90" t="s">
        <v>294</v>
      </c>
      <c r="B70" s="90" t="s">
        <v>777</v>
      </c>
      <c r="C70" s="90" t="s">
        <v>367</v>
      </c>
      <c r="D70" s="90" t="s">
        <v>778</v>
      </c>
      <c r="E70" s="90" t="s">
        <v>369</v>
      </c>
      <c r="F70" s="90" t="s">
        <v>447</v>
      </c>
      <c r="G70" s="90" t="s">
        <v>371</v>
      </c>
      <c r="H70" s="90" t="s">
        <v>716</v>
      </c>
      <c r="I70" s="90" t="s">
        <v>779</v>
      </c>
      <c r="J70" s="90" t="s">
        <v>780</v>
      </c>
      <c r="K70" s="90" t="s">
        <v>782</v>
      </c>
      <c r="L70" s="90" t="s">
        <v>781</v>
      </c>
      <c r="M70" s="90" t="s">
        <v>386</v>
      </c>
      <c r="O70" s="90" t="s">
        <v>386</v>
      </c>
    </row>
    <row r="71" spans="1:15" s="90" customFormat="1">
      <c r="A71" s="90" t="s">
        <v>282</v>
      </c>
      <c r="B71" s="90" t="s">
        <v>783</v>
      </c>
      <c r="C71" s="90" t="s">
        <v>367</v>
      </c>
      <c r="D71" s="90" t="s">
        <v>784</v>
      </c>
      <c r="E71" s="90" t="s">
        <v>369</v>
      </c>
      <c r="F71" s="90" t="s">
        <v>785</v>
      </c>
      <c r="G71" s="90" t="s">
        <v>371</v>
      </c>
      <c r="H71" s="90" t="s">
        <v>716</v>
      </c>
      <c r="I71" s="90" t="s">
        <v>786</v>
      </c>
      <c r="J71" s="90" t="s">
        <v>787</v>
      </c>
      <c r="K71" s="90" t="s">
        <v>788</v>
      </c>
      <c r="L71" s="90" t="s">
        <v>376</v>
      </c>
      <c r="M71" s="90" t="s">
        <v>386</v>
      </c>
      <c r="O71" s="90" t="s">
        <v>386</v>
      </c>
    </row>
    <row r="72" spans="1:15" s="90" customFormat="1">
      <c r="A72" s="90" t="s">
        <v>293</v>
      </c>
      <c r="B72" s="90" t="s">
        <v>789</v>
      </c>
      <c r="C72" s="90" t="s">
        <v>367</v>
      </c>
      <c r="D72" s="90" t="s">
        <v>790</v>
      </c>
      <c r="E72" s="90" t="s">
        <v>369</v>
      </c>
      <c r="F72" s="90" t="s">
        <v>382</v>
      </c>
      <c r="G72" s="90" t="s">
        <v>371</v>
      </c>
      <c r="H72" s="90" t="s">
        <v>716</v>
      </c>
      <c r="I72" s="90" t="s">
        <v>791</v>
      </c>
      <c r="J72" s="90" t="s">
        <v>792</v>
      </c>
      <c r="K72" s="90" t="s">
        <v>793</v>
      </c>
      <c r="L72" s="90" t="s">
        <v>376</v>
      </c>
      <c r="M72" s="90" t="s">
        <v>386</v>
      </c>
      <c r="O72" s="90" t="s">
        <v>386</v>
      </c>
    </row>
    <row r="73" spans="1:15" s="90" customFormat="1">
      <c r="A73" s="90" t="s">
        <v>252</v>
      </c>
      <c r="B73" s="90" t="s">
        <v>794</v>
      </c>
      <c r="C73" s="90" t="s">
        <v>380</v>
      </c>
      <c r="D73" s="90" t="s">
        <v>795</v>
      </c>
      <c r="E73" s="90" t="s">
        <v>369</v>
      </c>
      <c r="F73" s="90" t="s">
        <v>382</v>
      </c>
      <c r="G73" s="90" t="s">
        <v>371</v>
      </c>
      <c r="H73" s="90" t="s">
        <v>716</v>
      </c>
      <c r="I73" s="90" t="s">
        <v>796</v>
      </c>
      <c r="J73" s="90" t="s">
        <v>797</v>
      </c>
      <c r="K73" s="90" t="s">
        <v>798</v>
      </c>
      <c r="L73" s="90" t="s">
        <v>444</v>
      </c>
      <c r="M73" s="90" t="s">
        <v>386</v>
      </c>
      <c r="O73" s="90" t="s">
        <v>386</v>
      </c>
    </row>
    <row r="74" spans="1:15" s="90" customFormat="1">
      <c r="A74" s="90" t="s">
        <v>305</v>
      </c>
      <c r="B74" s="90" t="s">
        <v>799</v>
      </c>
      <c r="C74" s="90" t="s">
        <v>367</v>
      </c>
      <c r="D74" s="90" t="s">
        <v>800</v>
      </c>
      <c r="E74" s="90" t="s">
        <v>369</v>
      </c>
      <c r="F74" s="90" t="s">
        <v>370</v>
      </c>
      <c r="G74" s="90" t="s">
        <v>371</v>
      </c>
      <c r="H74" s="90" t="s">
        <v>716</v>
      </c>
      <c r="I74" s="90" t="s">
        <v>801</v>
      </c>
      <c r="J74" s="90" t="s">
        <v>802</v>
      </c>
      <c r="K74" s="90" t="s">
        <v>804</v>
      </c>
      <c r="L74" s="90" t="s">
        <v>376</v>
      </c>
      <c r="M74" s="90" t="s">
        <v>803</v>
      </c>
      <c r="O74" s="90" t="s">
        <v>386</v>
      </c>
    </row>
    <row r="75" spans="1:15" s="90" customFormat="1">
      <c r="A75" s="90" t="s">
        <v>308</v>
      </c>
      <c r="B75" s="90" t="s">
        <v>805</v>
      </c>
      <c r="C75" s="90" t="s">
        <v>367</v>
      </c>
      <c r="D75" s="90" t="s">
        <v>806</v>
      </c>
      <c r="E75" s="90" t="s">
        <v>369</v>
      </c>
      <c r="F75" s="90" t="s">
        <v>382</v>
      </c>
      <c r="G75" s="90" t="s">
        <v>371</v>
      </c>
      <c r="H75" s="90" t="s">
        <v>372</v>
      </c>
      <c r="I75" s="90" t="s">
        <v>807</v>
      </c>
      <c r="J75" s="90" t="s">
        <v>808</v>
      </c>
      <c r="K75" s="90" t="s">
        <v>810</v>
      </c>
      <c r="L75" s="90" t="s">
        <v>421</v>
      </c>
      <c r="M75" s="90" t="s">
        <v>809</v>
      </c>
      <c r="O75" s="90" t="s">
        <v>386</v>
      </c>
    </row>
    <row r="76" spans="1:15" s="90" customFormat="1">
      <c r="A76" s="90" t="s">
        <v>298</v>
      </c>
      <c r="B76" s="90" t="s">
        <v>811</v>
      </c>
      <c r="C76" s="90" t="s">
        <v>367</v>
      </c>
      <c r="D76" s="90" t="s">
        <v>812</v>
      </c>
      <c r="E76" s="90" t="s">
        <v>369</v>
      </c>
      <c r="F76" s="90" t="s">
        <v>417</v>
      </c>
      <c r="G76" s="90" t="s">
        <v>371</v>
      </c>
      <c r="H76" s="90" t="s">
        <v>716</v>
      </c>
      <c r="I76" s="90" t="s">
        <v>813</v>
      </c>
      <c r="J76" s="90" t="s">
        <v>814</v>
      </c>
      <c r="K76" s="90" t="s">
        <v>815</v>
      </c>
      <c r="L76" s="90" t="s">
        <v>421</v>
      </c>
      <c r="M76" s="90" t="s">
        <v>386</v>
      </c>
      <c r="O76" s="90" t="s">
        <v>386</v>
      </c>
    </row>
    <row r="77" spans="1:15" s="90" customFormat="1">
      <c r="A77" s="90" t="s">
        <v>817</v>
      </c>
      <c r="B77" s="90" t="s">
        <v>816</v>
      </c>
      <c r="C77" s="90" t="s">
        <v>380</v>
      </c>
      <c r="D77" s="90" t="s">
        <v>818</v>
      </c>
      <c r="E77" s="90" t="s">
        <v>369</v>
      </c>
      <c r="F77" s="90" t="s">
        <v>417</v>
      </c>
      <c r="G77" s="90" t="s">
        <v>371</v>
      </c>
      <c r="H77" s="90" t="s">
        <v>372</v>
      </c>
      <c r="I77" s="90" t="s">
        <v>819</v>
      </c>
      <c r="J77" s="90" t="s">
        <v>820</v>
      </c>
      <c r="K77" s="90" t="s">
        <v>821</v>
      </c>
      <c r="L77" s="90" t="s">
        <v>444</v>
      </c>
      <c r="M77" s="90" t="s">
        <v>386</v>
      </c>
      <c r="O77" s="90" t="s">
        <v>386</v>
      </c>
    </row>
    <row r="78" spans="1:15" s="90" customFormat="1">
      <c r="A78" s="90" t="s">
        <v>312</v>
      </c>
      <c r="B78" s="90" t="s">
        <v>822</v>
      </c>
      <c r="C78" s="90" t="s">
        <v>367</v>
      </c>
      <c r="D78" s="90" t="s">
        <v>823</v>
      </c>
      <c r="E78" s="90" t="s">
        <v>369</v>
      </c>
      <c r="F78" s="90" t="s">
        <v>370</v>
      </c>
      <c r="G78" s="90" t="s">
        <v>371</v>
      </c>
      <c r="H78" s="90" t="s">
        <v>716</v>
      </c>
      <c r="I78" s="90" t="s">
        <v>824</v>
      </c>
      <c r="J78" s="90" t="s">
        <v>825</v>
      </c>
      <c r="K78" s="90" t="s">
        <v>826</v>
      </c>
      <c r="L78" s="90" t="s">
        <v>421</v>
      </c>
      <c r="M78" s="90" t="s">
        <v>386</v>
      </c>
      <c r="O78" s="90" t="s">
        <v>386</v>
      </c>
    </row>
    <row r="79" spans="1:15" s="90" customFormat="1">
      <c r="A79" s="90" t="s">
        <v>257</v>
      </c>
      <c r="B79" s="90" t="s">
        <v>827</v>
      </c>
      <c r="C79" s="90" t="s">
        <v>367</v>
      </c>
      <c r="D79" s="90" t="s">
        <v>828</v>
      </c>
      <c r="E79" s="90" t="s">
        <v>369</v>
      </c>
      <c r="F79" s="90" t="s">
        <v>478</v>
      </c>
      <c r="G79" s="90" t="s">
        <v>371</v>
      </c>
      <c r="H79" s="90" t="s">
        <v>716</v>
      </c>
      <c r="I79" s="90" t="s">
        <v>829</v>
      </c>
      <c r="J79" s="90" t="s">
        <v>830</v>
      </c>
      <c r="K79" s="90" t="s">
        <v>831</v>
      </c>
      <c r="L79" s="90" t="s">
        <v>421</v>
      </c>
      <c r="M79" s="90" t="s">
        <v>386</v>
      </c>
      <c r="O79" s="90" t="s">
        <v>386</v>
      </c>
    </row>
    <row r="80" spans="1:15" s="90" customFormat="1">
      <c r="A80" s="90" t="s">
        <v>275</v>
      </c>
      <c r="B80" s="90" t="s">
        <v>832</v>
      </c>
      <c r="C80" s="90" t="s">
        <v>380</v>
      </c>
      <c r="D80" s="90" t="s">
        <v>833</v>
      </c>
      <c r="E80" s="90" t="s">
        <v>369</v>
      </c>
      <c r="F80" s="90" t="s">
        <v>410</v>
      </c>
      <c r="G80" s="90" t="s">
        <v>371</v>
      </c>
      <c r="H80" s="90" t="s">
        <v>716</v>
      </c>
      <c r="I80" s="90" t="s">
        <v>834</v>
      </c>
      <c r="J80" s="90" t="s">
        <v>835</v>
      </c>
      <c r="K80" s="90" t="s">
        <v>836</v>
      </c>
      <c r="L80" s="90" t="s">
        <v>444</v>
      </c>
      <c r="M80" s="90" t="s">
        <v>386</v>
      </c>
      <c r="O80" s="90" t="s">
        <v>386</v>
      </c>
    </row>
    <row r="81" spans="1:15" s="90" customFormat="1">
      <c r="A81" s="90" t="s">
        <v>307</v>
      </c>
      <c r="B81" s="90" t="s">
        <v>837</v>
      </c>
      <c r="C81" s="90" t="s">
        <v>367</v>
      </c>
      <c r="D81" s="90" t="s">
        <v>368</v>
      </c>
      <c r="E81" s="90" t="s">
        <v>369</v>
      </c>
      <c r="F81" s="90" t="s">
        <v>417</v>
      </c>
      <c r="G81" s="90" t="s">
        <v>371</v>
      </c>
      <c r="H81" s="90" t="s">
        <v>372</v>
      </c>
      <c r="I81" s="90" t="s">
        <v>838</v>
      </c>
      <c r="J81" s="90" t="s">
        <v>839</v>
      </c>
      <c r="K81" s="90" t="s">
        <v>840</v>
      </c>
      <c r="L81" s="90" t="s">
        <v>444</v>
      </c>
      <c r="M81" s="90" t="s">
        <v>386</v>
      </c>
      <c r="O81" s="90" t="s">
        <v>386</v>
      </c>
    </row>
    <row r="82" spans="1:15" s="90" customFormat="1">
      <c r="A82" s="90" t="s">
        <v>288</v>
      </c>
      <c r="B82" s="90" t="s">
        <v>841</v>
      </c>
      <c r="C82" s="90" t="s">
        <v>367</v>
      </c>
      <c r="D82" s="90" t="s">
        <v>842</v>
      </c>
      <c r="E82" s="90" t="s">
        <v>369</v>
      </c>
      <c r="F82" s="90" t="s">
        <v>785</v>
      </c>
      <c r="G82" s="90" t="s">
        <v>371</v>
      </c>
      <c r="H82" s="90" t="s">
        <v>716</v>
      </c>
      <c r="I82" s="90" t="s">
        <v>843</v>
      </c>
      <c r="J82" s="90" t="s">
        <v>844</v>
      </c>
      <c r="K82" s="90" t="s">
        <v>845</v>
      </c>
      <c r="L82" s="90" t="s">
        <v>376</v>
      </c>
      <c r="M82" s="90" t="s">
        <v>386</v>
      </c>
      <c r="O82" s="90" t="s">
        <v>386</v>
      </c>
    </row>
    <row r="83" spans="1:15" s="90" customFormat="1">
      <c r="A83" s="90" t="s">
        <v>304</v>
      </c>
      <c r="B83" s="90" t="s">
        <v>846</v>
      </c>
      <c r="C83" s="90" t="s">
        <v>367</v>
      </c>
      <c r="D83" s="90" t="s">
        <v>847</v>
      </c>
      <c r="E83" s="90" t="s">
        <v>369</v>
      </c>
      <c r="F83" s="90" t="s">
        <v>471</v>
      </c>
      <c r="G83" s="90" t="s">
        <v>371</v>
      </c>
      <c r="H83" s="90" t="s">
        <v>716</v>
      </c>
      <c r="I83" s="90" t="s">
        <v>848</v>
      </c>
      <c r="J83" s="90" t="s">
        <v>849</v>
      </c>
      <c r="K83" s="90" t="s">
        <v>850</v>
      </c>
      <c r="L83" s="90" t="s">
        <v>393</v>
      </c>
      <c r="M83" s="90" t="s">
        <v>386</v>
      </c>
      <c r="O83" s="90" t="s">
        <v>386</v>
      </c>
    </row>
    <row r="84" spans="1:15" s="90" customFormat="1">
      <c r="A84" s="90" t="s">
        <v>1683</v>
      </c>
      <c r="B84" s="90" t="s">
        <v>851</v>
      </c>
      <c r="C84" s="90" t="s">
        <v>380</v>
      </c>
      <c r="D84" s="90" t="s">
        <v>852</v>
      </c>
      <c r="E84" s="90" t="s">
        <v>369</v>
      </c>
      <c r="F84" s="90" t="s">
        <v>370</v>
      </c>
      <c r="G84" s="90" t="s">
        <v>371</v>
      </c>
      <c r="H84" s="90" t="s">
        <v>716</v>
      </c>
      <c r="I84" s="90" t="s">
        <v>853</v>
      </c>
      <c r="J84" s="90" t="s">
        <v>854</v>
      </c>
      <c r="K84" s="90" t="s">
        <v>855</v>
      </c>
      <c r="L84" s="90" t="s">
        <v>444</v>
      </c>
      <c r="M84" s="90" t="s">
        <v>386</v>
      </c>
      <c r="O84" s="90" t="s">
        <v>386</v>
      </c>
    </row>
    <row r="85" spans="1:15" s="90" customFormat="1">
      <c r="A85" s="90" t="s">
        <v>310</v>
      </c>
      <c r="B85" s="90" t="s">
        <v>856</v>
      </c>
      <c r="C85" s="90" t="s">
        <v>367</v>
      </c>
      <c r="D85" s="90" t="s">
        <v>857</v>
      </c>
      <c r="E85" s="90" t="s">
        <v>369</v>
      </c>
      <c r="F85" s="90" t="s">
        <v>566</v>
      </c>
      <c r="G85" s="90" t="s">
        <v>371</v>
      </c>
      <c r="H85" s="90" t="s">
        <v>716</v>
      </c>
      <c r="I85" s="90" t="s">
        <v>858</v>
      </c>
      <c r="J85" s="90" t="s">
        <v>859</v>
      </c>
      <c r="K85" s="90" t="s">
        <v>861</v>
      </c>
      <c r="L85" s="90" t="s">
        <v>421</v>
      </c>
      <c r="M85" s="90" t="s">
        <v>860</v>
      </c>
      <c r="O85" s="90" t="s">
        <v>386</v>
      </c>
    </row>
    <row r="86" spans="1:15" s="90" customFormat="1">
      <c r="A86" s="90" t="s">
        <v>324</v>
      </c>
      <c r="B86" s="90" t="s">
        <v>862</v>
      </c>
      <c r="C86" s="90" t="s">
        <v>367</v>
      </c>
      <c r="D86" s="90" t="s">
        <v>863</v>
      </c>
      <c r="E86" s="90" t="s">
        <v>369</v>
      </c>
      <c r="F86" s="90" t="s">
        <v>403</v>
      </c>
      <c r="G86" s="90" t="s">
        <v>404</v>
      </c>
      <c r="H86" s="90" t="s">
        <v>716</v>
      </c>
      <c r="I86" s="90" t="s">
        <v>864</v>
      </c>
      <c r="J86" s="90" t="s">
        <v>865</v>
      </c>
      <c r="K86" s="90" t="s">
        <v>866</v>
      </c>
      <c r="L86" s="90" t="s">
        <v>444</v>
      </c>
      <c r="M86" s="90" t="s">
        <v>386</v>
      </c>
      <c r="O86" s="90" t="s">
        <v>386</v>
      </c>
    </row>
    <row r="87" spans="1:15" s="90" customFormat="1">
      <c r="A87" s="90" t="s">
        <v>320</v>
      </c>
      <c r="B87" s="90" t="s">
        <v>867</v>
      </c>
      <c r="C87" s="90" t="s">
        <v>367</v>
      </c>
      <c r="D87" s="90" t="s">
        <v>868</v>
      </c>
      <c r="E87" s="90" t="s">
        <v>369</v>
      </c>
      <c r="F87" s="90" t="s">
        <v>382</v>
      </c>
      <c r="G87" s="90" t="s">
        <v>371</v>
      </c>
      <c r="H87" s="90" t="s">
        <v>372</v>
      </c>
      <c r="I87" s="90" t="s">
        <v>869</v>
      </c>
      <c r="J87" s="90" t="s">
        <v>870</v>
      </c>
      <c r="K87" s="90" t="s">
        <v>871</v>
      </c>
      <c r="L87" s="90" t="s">
        <v>444</v>
      </c>
      <c r="M87" s="90" t="s">
        <v>386</v>
      </c>
      <c r="O87" s="90" t="s">
        <v>386</v>
      </c>
    </row>
    <row r="88" spans="1:15" s="90" customFormat="1">
      <c r="A88" s="90" t="s">
        <v>328</v>
      </c>
      <c r="B88" s="90" t="s">
        <v>872</v>
      </c>
      <c r="C88" s="90" t="s">
        <v>367</v>
      </c>
      <c r="D88" s="90" t="s">
        <v>873</v>
      </c>
      <c r="E88" s="90" t="s">
        <v>369</v>
      </c>
      <c r="F88" s="90" t="s">
        <v>874</v>
      </c>
      <c r="G88" s="90" t="s">
        <v>404</v>
      </c>
      <c r="H88" s="90" t="s">
        <v>716</v>
      </c>
      <c r="I88" s="90" t="s">
        <v>875</v>
      </c>
      <c r="J88" s="90" t="s">
        <v>876</v>
      </c>
      <c r="K88" s="90" t="s">
        <v>878</v>
      </c>
      <c r="L88" s="90" t="s">
        <v>421</v>
      </c>
      <c r="M88" s="90" t="s">
        <v>877</v>
      </c>
      <c r="O88" s="90" t="s">
        <v>386</v>
      </c>
    </row>
    <row r="89" spans="1:15" s="90" customFormat="1">
      <c r="A89" s="90" t="s">
        <v>290</v>
      </c>
      <c r="B89" s="90" t="s">
        <v>879</v>
      </c>
      <c r="C89" s="90" t="s">
        <v>380</v>
      </c>
      <c r="D89" s="90" t="s">
        <v>880</v>
      </c>
      <c r="E89" s="90" t="s">
        <v>369</v>
      </c>
      <c r="F89" s="90" t="s">
        <v>566</v>
      </c>
      <c r="G89" s="90" t="s">
        <v>371</v>
      </c>
      <c r="H89" s="90" t="s">
        <v>716</v>
      </c>
      <c r="I89" s="90" t="s">
        <v>881</v>
      </c>
      <c r="J89" s="90" t="s">
        <v>882</v>
      </c>
      <c r="K89" s="90" t="s">
        <v>883</v>
      </c>
      <c r="L89" s="90" t="s">
        <v>444</v>
      </c>
      <c r="M89" s="90" t="s">
        <v>386</v>
      </c>
      <c r="O89" s="90" t="s">
        <v>386</v>
      </c>
    </row>
    <row r="90" spans="1:15" s="90" customFormat="1">
      <c r="A90" s="90" t="s">
        <v>300</v>
      </c>
      <c r="B90" s="90" t="s">
        <v>884</v>
      </c>
      <c r="C90" s="90" t="s">
        <v>367</v>
      </c>
      <c r="D90" s="90" t="s">
        <v>885</v>
      </c>
      <c r="E90" s="90" t="s">
        <v>369</v>
      </c>
      <c r="F90" s="90" t="s">
        <v>785</v>
      </c>
      <c r="G90" s="90" t="s">
        <v>371</v>
      </c>
      <c r="H90" s="90" t="s">
        <v>716</v>
      </c>
      <c r="I90" s="90" t="s">
        <v>886</v>
      </c>
      <c r="J90" s="90" t="s">
        <v>887</v>
      </c>
      <c r="K90" s="90" t="s">
        <v>888</v>
      </c>
      <c r="L90" s="90" t="s">
        <v>421</v>
      </c>
      <c r="M90" s="90" t="s">
        <v>386</v>
      </c>
      <c r="O90" s="90" t="s">
        <v>386</v>
      </c>
    </row>
    <row r="91" spans="1:15" s="90" customFormat="1">
      <c r="A91" s="90" t="s">
        <v>323</v>
      </c>
      <c r="B91" s="90" t="s">
        <v>889</v>
      </c>
      <c r="C91" s="90" t="s">
        <v>367</v>
      </c>
      <c r="D91" s="90" t="s">
        <v>890</v>
      </c>
      <c r="E91" s="90" t="s">
        <v>369</v>
      </c>
      <c r="F91" s="90" t="s">
        <v>566</v>
      </c>
      <c r="G91" s="90" t="s">
        <v>371</v>
      </c>
      <c r="H91" s="90" t="s">
        <v>716</v>
      </c>
      <c r="I91" s="90" t="s">
        <v>891</v>
      </c>
      <c r="J91" s="90" t="s">
        <v>892</v>
      </c>
      <c r="K91" s="90" t="s">
        <v>893</v>
      </c>
      <c r="L91" s="90" t="s">
        <v>421</v>
      </c>
      <c r="M91" s="90" t="s">
        <v>386</v>
      </c>
      <c r="O91" s="90" t="s">
        <v>386</v>
      </c>
    </row>
    <row r="92" spans="1:15" s="90" customFormat="1">
      <c r="A92" s="90" t="s">
        <v>262</v>
      </c>
      <c r="B92" s="90" t="s">
        <v>894</v>
      </c>
      <c r="C92" s="90" t="s">
        <v>367</v>
      </c>
      <c r="D92" s="90" t="s">
        <v>895</v>
      </c>
      <c r="E92" s="90" t="s">
        <v>369</v>
      </c>
      <c r="F92" s="90" t="s">
        <v>382</v>
      </c>
      <c r="G92" s="90" t="s">
        <v>371</v>
      </c>
      <c r="H92" s="90" t="s">
        <v>716</v>
      </c>
      <c r="I92" s="90" t="s">
        <v>896</v>
      </c>
      <c r="J92" s="90" t="s">
        <v>897</v>
      </c>
      <c r="K92" s="90" t="s">
        <v>898</v>
      </c>
      <c r="L92" s="90" t="s">
        <v>444</v>
      </c>
      <c r="M92" s="90" t="s">
        <v>386</v>
      </c>
      <c r="O92" s="90" t="s">
        <v>386</v>
      </c>
    </row>
    <row r="93" spans="1:15" s="90" customFormat="1">
      <c r="A93" s="90" t="s">
        <v>267</v>
      </c>
      <c r="B93" s="90" t="s">
        <v>899</v>
      </c>
      <c r="C93" s="90" t="s">
        <v>367</v>
      </c>
      <c r="D93" s="90" t="s">
        <v>900</v>
      </c>
      <c r="E93" s="90" t="s">
        <v>369</v>
      </c>
      <c r="F93" s="90" t="s">
        <v>874</v>
      </c>
      <c r="G93" s="90" t="s">
        <v>404</v>
      </c>
      <c r="H93" s="90" t="s">
        <v>716</v>
      </c>
      <c r="I93" s="90" t="s">
        <v>901</v>
      </c>
      <c r="J93" s="90" t="s">
        <v>902</v>
      </c>
      <c r="K93" s="90" t="s">
        <v>903</v>
      </c>
      <c r="L93" s="90" t="s">
        <v>444</v>
      </c>
      <c r="M93" s="90" t="s">
        <v>386</v>
      </c>
      <c r="O93" s="90" t="s">
        <v>386</v>
      </c>
    </row>
    <row r="94" spans="1:15" s="90" customFormat="1">
      <c r="A94" s="90" t="s">
        <v>278</v>
      </c>
      <c r="B94" s="90" t="s">
        <v>904</v>
      </c>
      <c r="C94" s="90" t="s">
        <v>380</v>
      </c>
      <c r="D94" s="90" t="s">
        <v>905</v>
      </c>
      <c r="E94" s="90" t="s">
        <v>369</v>
      </c>
      <c r="F94" s="90" t="s">
        <v>471</v>
      </c>
      <c r="G94" s="90" t="s">
        <v>371</v>
      </c>
      <c r="H94" s="90" t="s">
        <v>716</v>
      </c>
      <c r="I94" s="90" t="s">
        <v>906</v>
      </c>
      <c r="J94" s="90" t="s">
        <v>907</v>
      </c>
      <c r="K94" s="90" t="s">
        <v>908</v>
      </c>
      <c r="L94" s="90" t="s">
        <v>444</v>
      </c>
      <c r="M94" s="90" t="s">
        <v>386</v>
      </c>
      <c r="O94" s="90" t="s">
        <v>386</v>
      </c>
    </row>
    <row r="95" spans="1:15" s="90" customFormat="1">
      <c r="A95" s="90" t="s">
        <v>326</v>
      </c>
      <c r="B95" s="90" t="s">
        <v>909</v>
      </c>
      <c r="C95" s="90" t="s">
        <v>380</v>
      </c>
      <c r="D95" s="90" t="s">
        <v>910</v>
      </c>
      <c r="E95" s="90" t="s">
        <v>369</v>
      </c>
      <c r="F95" s="90" t="s">
        <v>382</v>
      </c>
      <c r="G95" s="90" t="s">
        <v>371</v>
      </c>
      <c r="H95" s="90" t="s">
        <v>716</v>
      </c>
      <c r="I95" s="90" t="s">
        <v>911</v>
      </c>
      <c r="J95" s="90" t="s">
        <v>912</v>
      </c>
      <c r="K95" s="90" t="s">
        <v>914</v>
      </c>
      <c r="L95" s="90" t="s">
        <v>444</v>
      </c>
      <c r="M95" s="90" t="s">
        <v>386</v>
      </c>
      <c r="O95" s="90" t="s">
        <v>751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"/>
  <sheetViews>
    <sheetView workbookViewId="0">
      <selection activeCell="A3" sqref="A3"/>
    </sheetView>
  </sheetViews>
  <sheetFormatPr defaultColWidth="10.28515625" defaultRowHeight="15.75"/>
  <cols>
    <col min="1" max="1" width="16.140625" style="91" bestFit="1" customWidth="1"/>
    <col min="2" max="2" width="17.28515625" style="110" bestFit="1" customWidth="1"/>
    <col min="3" max="3" width="15.42578125" style="110" customWidth="1"/>
    <col min="4" max="4" width="14.42578125" style="89" customWidth="1"/>
    <col min="5" max="5" width="17.28515625" style="111" customWidth="1"/>
    <col min="6" max="6" width="41" style="90" bestFit="1" customWidth="1"/>
    <col min="7" max="7" width="28.28515625" style="91" bestFit="1" customWidth="1"/>
    <col min="8" max="16384" width="10.28515625" style="91"/>
  </cols>
  <sheetData>
    <row r="1" spans="1:6">
      <c r="A1" s="702" t="s">
        <v>922</v>
      </c>
      <c r="B1" s="702"/>
      <c r="C1" s="702"/>
      <c r="D1" s="702"/>
      <c r="E1" s="702"/>
      <c r="F1" s="702"/>
    </row>
    <row r="2" spans="1:6">
      <c r="A2" s="92" t="s">
        <v>915</v>
      </c>
      <c r="B2" s="92" t="s">
        <v>916</v>
      </c>
      <c r="C2" s="92" t="s">
        <v>917</v>
      </c>
      <c r="D2" s="92" t="s">
        <v>918</v>
      </c>
      <c r="E2" s="92" t="s">
        <v>919</v>
      </c>
      <c r="F2" s="93" t="s">
        <v>920</v>
      </c>
    </row>
    <row r="3" spans="1:6">
      <c r="A3" s="94" t="s">
        <v>921</v>
      </c>
      <c r="B3" s="94" t="s">
        <v>1240</v>
      </c>
      <c r="C3" s="94" t="s">
        <v>1241</v>
      </c>
      <c r="D3" s="95" t="s">
        <v>1242</v>
      </c>
      <c r="E3" s="94" t="s">
        <v>1243</v>
      </c>
      <c r="F3" s="96" t="s">
        <v>1244</v>
      </c>
    </row>
    <row r="4" spans="1:6">
      <c r="A4" s="94" t="s">
        <v>921</v>
      </c>
      <c r="B4" s="94" t="s">
        <v>1248</v>
      </c>
      <c r="C4" s="94" t="s">
        <v>1249</v>
      </c>
      <c r="D4" s="95" t="s">
        <v>1250</v>
      </c>
      <c r="E4" s="94" t="s">
        <v>642</v>
      </c>
      <c r="F4" s="96" t="s">
        <v>643</v>
      </c>
    </row>
    <row r="5" spans="1:6">
      <c r="A5" s="94" t="s">
        <v>921</v>
      </c>
      <c r="B5" s="94" t="s">
        <v>1251</v>
      </c>
      <c r="C5" s="94" t="s">
        <v>1252</v>
      </c>
      <c r="D5" s="95" t="s">
        <v>1253</v>
      </c>
      <c r="E5" s="113" t="s">
        <v>648</v>
      </c>
      <c r="F5" s="96" t="s">
        <v>649</v>
      </c>
    </row>
    <row r="6" spans="1:6">
      <c r="A6" s="94" t="s">
        <v>921</v>
      </c>
      <c r="B6" s="94" t="s">
        <v>1254</v>
      </c>
      <c r="C6" s="94" t="s">
        <v>1255</v>
      </c>
      <c r="D6" s="95" t="s">
        <v>1256</v>
      </c>
      <c r="E6" s="94" t="s">
        <v>654</v>
      </c>
      <c r="F6" s="96" t="s">
        <v>655</v>
      </c>
    </row>
    <row r="7" spans="1:6">
      <c r="A7" s="94" t="s">
        <v>921</v>
      </c>
      <c r="B7" s="94" t="s">
        <v>1245</v>
      </c>
      <c r="C7" s="94" t="s">
        <v>1257</v>
      </c>
      <c r="D7" s="95" t="s">
        <v>1258</v>
      </c>
      <c r="E7" s="94" t="s">
        <v>660</v>
      </c>
      <c r="F7" s="96" t="s">
        <v>661</v>
      </c>
    </row>
    <row r="8" spans="1:6">
      <c r="A8" s="94" t="s">
        <v>921</v>
      </c>
      <c r="B8" s="94" t="s">
        <v>1246</v>
      </c>
      <c r="C8" s="94" t="s">
        <v>1259</v>
      </c>
      <c r="D8" s="95" t="s">
        <v>1260</v>
      </c>
      <c r="E8" s="94" t="s">
        <v>621</v>
      </c>
      <c r="F8" s="96" t="s">
        <v>622</v>
      </c>
    </row>
    <row r="9" spans="1:6">
      <c r="A9" s="94" t="s">
        <v>921</v>
      </c>
      <c r="B9" s="94" t="s">
        <v>1261</v>
      </c>
      <c r="C9" s="94" t="s">
        <v>1262</v>
      </c>
      <c r="D9" s="95" t="s">
        <v>1263</v>
      </c>
      <c r="E9" s="94" t="s">
        <v>666</v>
      </c>
      <c r="F9" s="96" t="s">
        <v>667</v>
      </c>
    </row>
    <row r="10" spans="1:6">
      <c r="A10" s="94" t="s">
        <v>921</v>
      </c>
      <c r="B10" s="94" t="s">
        <v>1264</v>
      </c>
      <c r="C10" s="94" t="s">
        <v>1265</v>
      </c>
      <c r="D10" s="95" t="s">
        <v>1266</v>
      </c>
      <c r="E10" s="94" t="s">
        <v>672</v>
      </c>
      <c r="F10" s="96" t="s">
        <v>673</v>
      </c>
    </row>
    <row r="11" spans="1:6">
      <c r="A11" s="94" t="s">
        <v>921</v>
      </c>
      <c r="B11" s="94" t="s">
        <v>1267</v>
      </c>
      <c r="C11" s="94" t="s">
        <v>1268</v>
      </c>
      <c r="D11" s="95" t="s">
        <v>1269</v>
      </c>
      <c r="E11" s="94" t="s">
        <v>678</v>
      </c>
      <c r="F11" s="96" t="s">
        <v>679</v>
      </c>
    </row>
    <row r="12" spans="1:6">
      <c r="A12" s="94" t="s">
        <v>921</v>
      </c>
      <c r="B12" s="94" t="s">
        <v>1270</v>
      </c>
      <c r="C12" s="94" t="s">
        <v>1271</v>
      </c>
      <c r="D12" s="95" t="s">
        <v>1272</v>
      </c>
      <c r="E12" s="94" t="s">
        <v>684</v>
      </c>
      <c r="F12" s="96" t="s">
        <v>685</v>
      </c>
    </row>
    <row r="13" spans="1:6">
      <c r="A13" s="94" t="s">
        <v>921</v>
      </c>
      <c r="B13" s="94" t="s">
        <v>1273</v>
      </c>
      <c r="C13" s="94" t="s">
        <v>1274</v>
      </c>
      <c r="D13" s="95" t="s">
        <v>1275</v>
      </c>
      <c r="E13" s="94" t="s">
        <v>690</v>
      </c>
      <c r="F13" s="96" t="s">
        <v>691</v>
      </c>
    </row>
    <row r="14" spans="1:6">
      <c r="A14" s="94" t="s">
        <v>921</v>
      </c>
      <c r="B14" s="94" t="s">
        <v>1276</v>
      </c>
      <c r="C14" s="94" t="s">
        <v>1277</v>
      </c>
      <c r="D14" s="95">
        <v>855792</v>
      </c>
      <c r="E14" s="94" t="s">
        <v>1247</v>
      </c>
      <c r="F14" s="96" t="s">
        <v>697</v>
      </c>
    </row>
    <row r="15" spans="1:6">
      <c r="A15" s="92"/>
      <c r="B15" s="92"/>
      <c r="C15" s="97"/>
      <c r="D15" s="97"/>
      <c r="E15" s="97"/>
      <c r="F15" s="98"/>
    </row>
    <row r="16" spans="1:6">
      <c r="A16" s="702" t="s">
        <v>1109</v>
      </c>
      <c r="B16" s="702"/>
      <c r="C16" s="702"/>
      <c r="D16" s="702"/>
      <c r="E16" s="702"/>
      <c r="F16" s="702"/>
    </row>
    <row r="17" spans="1:6">
      <c r="A17" s="92" t="s">
        <v>915</v>
      </c>
      <c r="B17" s="92" t="s">
        <v>916</v>
      </c>
      <c r="C17" s="92" t="s">
        <v>917</v>
      </c>
      <c r="D17" s="92" t="s">
        <v>918</v>
      </c>
      <c r="E17" s="92" t="s">
        <v>919</v>
      </c>
      <c r="F17" s="93" t="s">
        <v>920</v>
      </c>
    </row>
    <row r="18" spans="1:6">
      <c r="A18" s="99" t="s">
        <v>923</v>
      </c>
      <c r="B18" s="99" t="s">
        <v>924</v>
      </c>
      <c r="C18" s="100" t="s">
        <v>51</v>
      </c>
      <c r="D18" s="99" t="s">
        <v>925</v>
      </c>
      <c r="E18" s="112" t="s">
        <v>926</v>
      </c>
      <c r="F18" s="101" t="s">
        <v>927</v>
      </c>
    </row>
    <row r="19" spans="1:6">
      <c r="A19" s="99" t="s">
        <v>923</v>
      </c>
      <c r="B19" s="99" t="s">
        <v>928</v>
      </c>
      <c r="C19" s="100" t="s">
        <v>929</v>
      </c>
      <c r="D19" s="99">
        <v>852327</v>
      </c>
      <c r="E19" s="100" t="s">
        <v>930</v>
      </c>
      <c r="F19" s="101" t="s">
        <v>931</v>
      </c>
    </row>
    <row r="20" spans="1:6">
      <c r="A20" s="99" t="s">
        <v>923</v>
      </c>
      <c r="B20" s="99" t="s">
        <v>932</v>
      </c>
      <c r="C20" s="100" t="s">
        <v>933</v>
      </c>
      <c r="D20" s="99">
        <v>853253</v>
      </c>
      <c r="E20" s="100" t="s">
        <v>934</v>
      </c>
      <c r="F20" s="101" t="s">
        <v>935</v>
      </c>
    </row>
    <row r="21" spans="1:6">
      <c r="A21" s="99" t="s">
        <v>923</v>
      </c>
      <c r="B21" s="99" t="s">
        <v>936</v>
      </c>
      <c r="C21" s="100" t="s">
        <v>197</v>
      </c>
      <c r="D21" s="99" t="s">
        <v>937</v>
      </c>
      <c r="E21" s="100" t="s">
        <v>938</v>
      </c>
      <c r="F21" s="101" t="s">
        <v>939</v>
      </c>
    </row>
    <row r="22" spans="1:6">
      <c r="A22" s="99" t="s">
        <v>923</v>
      </c>
      <c r="B22" s="99" t="s">
        <v>940</v>
      </c>
      <c r="C22" s="100" t="s">
        <v>194</v>
      </c>
      <c r="D22" s="99" t="s">
        <v>941</v>
      </c>
      <c r="E22" s="100" t="s">
        <v>942</v>
      </c>
      <c r="F22" s="101" t="s">
        <v>943</v>
      </c>
    </row>
    <row r="23" spans="1:6">
      <c r="A23" s="99" t="s">
        <v>923</v>
      </c>
      <c r="B23" s="99" t="s">
        <v>944</v>
      </c>
      <c r="C23" s="100" t="s">
        <v>945</v>
      </c>
      <c r="D23" s="99" t="s">
        <v>946</v>
      </c>
      <c r="E23" s="100" t="s">
        <v>947</v>
      </c>
      <c r="F23" s="101" t="s">
        <v>948</v>
      </c>
    </row>
    <row r="24" spans="1:6">
      <c r="A24" s="99" t="s">
        <v>923</v>
      </c>
      <c r="B24" s="99" t="s">
        <v>949</v>
      </c>
      <c r="C24" s="100" t="s">
        <v>84</v>
      </c>
      <c r="D24" s="99" t="s">
        <v>950</v>
      </c>
      <c r="E24" s="100" t="s">
        <v>951</v>
      </c>
      <c r="F24" s="101" t="s">
        <v>952</v>
      </c>
    </row>
    <row r="25" spans="1:6" s="550" customFormat="1">
      <c r="A25" s="546" t="s">
        <v>923</v>
      </c>
      <c r="B25" s="546" t="s">
        <v>953</v>
      </c>
      <c r="C25" s="547" t="s">
        <v>199</v>
      </c>
      <c r="D25" s="546"/>
      <c r="E25" s="548" t="s">
        <v>1278</v>
      </c>
      <c r="F25" s="549" t="s">
        <v>954</v>
      </c>
    </row>
    <row r="26" spans="1:6">
      <c r="A26" s="99" t="s">
        <v>923</v>
      </c>
      <c r="B26" s="99" t="s">
        <v>955</v>
      </c>
      <c r="C26" s="100" t="s">
        <v>956</v>
      </c>
      <c r="D26" s="99" t="s">
        <v>957</v>
      </c>
      <c r="E26" s="100" t="s">
        <v>958</v>
      </c>
      <c r="F26" s="101" t="s">
        <v>959</v>
      </c>
    </row>
    <row r="27" spans="1:6">
      <c r="A27" s="99" t="s">
        <v>923</v>
      </c>
      <c r="B27" s="99" t="s">
        <v>960</v>
      </c>
      <c r="C27" s="100" t="s">
        <v>121</v>
      </c>
      <c r="D27" s="99" t="s">
        <v>961</v>
      </c>
      <c r="E27" s="100" t="s">
        <v>962</v>
      </c>
      <c r="F27" s="101" t="s">
        <v>963</v>
      </c>
    </row>
    <row r="28" spans="1:6">
      <c r="A28" s="99" t="s">
        <v>923</v>
      </c>
      <c r="B28" s="99" t="s">
        <v>964</v>
      </c>
      <c r="C28" s="100" t="s">
        <v>118</v>
      </c>
      <c r="D28" s="99" t="s">
        <v>965</v>
      </c>
      <c r="E28" s="100" t="s">
        <v>966</v>
      </c>
      <c r="F28" s="101" t="s">
        <v>967</v>
      </c>
    </row>
    <row r="29" spans="1:6">
      <c r="A29" s="99" t="s">
        <v>923</v>
      </c>
      <c r="B29" s="99" t="s">
        <v>968</v>
      </c>
      <c r="C29" s="100" t="s">
        <v>60</v>
      </c>
      <c r="D29" s="99" t="s">
        <v>969</v>
      </c>
      <c r="E29" s="100" t="s">
        <v>970</v>
      </c>
      <c r="F29" s="101" t="s">
        <v>971</v>
      </c>
    </row>
    <row r="30" spans="1:6">
      <c r="A30" s="99" t="s">
        <v>923</v>
      </c>
      <c r="B30" s="99" t="s">
        <v>972</v>
      </c>
      <c r="C30" s="100" t="s">
        <v>973</v>
      </c>
      <c r="D30" s="99" t="s">
        <v>974</v>
      </c>
      <c r="E30" s="100" t="s">
        <v>975</v>
      </c>
      <c r="F30" s="101" t="s">
        <v>976</v>
      </c>
    </row>
    <row r="31" spans="1:6">
      <c r="A31" s="99" t="s">
        <v>923</v>
      </c>
      <c r="B31" s="99" t="s">
        <v>977</v>
      </c>
      <c r="C31" s="100" t="s">
        <v>978</v>
      </c>
      <c r="D31" s="99" t="s">
        <v>979</v>
      </c>
      <c r="E31" s="100" t="s">
        <v>980</v>
      </c>
      <c r="F31" s="101" t="s">
        <v>981</v>
      </c>
    </row>
    <row r="32" spans="1:6">
      <c r="A32" s="99" t="s">
        <v>923</v>
      </c>
      <c r="B32" s="99" t="s">
        <v>982</v>
      </c>
      <c r="C32" s="100" t="s">
        <v>983</v>
      </c>
      <c r="D32" s="99" t="s">
        <v>984</v>
      </c>
      <c r="E32" s="100" t="s">
        <v>985</v>
      </c>
      <c r="F32" s="101" t="s">
        <v>986</v>
      </c>
    </row>
    <row r="33" spans="1:6">
      <c r="A33" s="99" t="s">
        <v>923</v>
      </c>
      <c r="B33" s="99" t="s">
        <v>987</v>
      </c>
      <c r="C33" s="100" t="s">
        <v>988</v>
      </c>
      <c r="D33" s="99" t="s">
        <v>989</v>
      </c>
      <c r="E33" s="100" t="s">
        <v>990</v>
      </c>
      <c r="F33" s="101" t="s">
        <v>991</v>
      </c>
    </row>
    <row r="34" spans="1:6">
      <c r="A34" s="99" t="s">
        <v>923</v>
      </c>
      <c r="B34" s="99" t="s">
        <v>992</v>
      </c>
      <c r="C34" s="100" t="s">
        <v>993</v>
      </c>
      <c r="D34" s="99" t="s">
        <v>994</v>
      </c>
      <c r="E34" s="100" t="s">
        <v>995</v>
      </c>
      <c r="F34" s="101" t="s">
        <v>996</v>
      </c>
    </row>
    <row r="35" spans="1:6">
      <c r="A35" s="99" t="s">
        <v>923</v>
      </c>
      <c r="B35" s="99" t="s">
        <v>997</v>
      </c>
      <c r="C35" s="100" t="s">
        <v>998</v>
      </c>
      <c r="D35" s="99" t="s">
        <v>999</v>
      </c>
      <c r="E35" s="100" t="s">
        <v>1000</v>
      </c>
      <c r="F35" s="101" t="s">
        <v>1001</v>
      </c>
    </row>
    <row r="36" spans="1:6">
      <c r="A36" s="99" t="s">
        <v>923</v>
      </c>
      <c r="B36" s="99" t="s">
        <v>1002</v>
      </c>
      <c r="C36" s="100" t="s">
        <v>175</v>
      </c>
      <c r="D36" s="99" t="s">
        <v>1003</v>
      </c>
      <c r="E36" s="100" t="s">
        <v>1004</v>
      </c>
      <c r="F36" s="101" t="s">
        <v>1005</v>
      </c>
    </row>
    <row r="37" spans="1:6">
      <c r="A37" s="99" t="s">
        <v>923</v>
      </c>
      <c r="B37" s="99" t="s">
        <v>1006</v>
      </c>
      <c r="C37" s="100" t="s">
        <v>169</v>
      </c>
      <c r="D37" s="99" t="s">
        <v>1007</v>
      </c>
      <c r="E37" s="100" t="s">
        <v>1008</v>
      </c>
      <c r="F37" s="101" t="s">
        <v>1009</v>
      </c>
    </row>
    <row r="38" spans="1:6">
      <c r="A38" s="99" t="s">
        <v>923</v>
      </c>
      <c r="B38" s="99" t="s">
        <v>1010</v>
      </c>
      <c r="C38" s="100" t="s">
        <v>172</v>
      </c>
      <c r="D38" s="99" t="s">
        <v>1011</v>
      </c>
      <c r="E38" s="100" t="s">
        <v>1012</v>
      </c>
      <c r="F38" s="101" t="s">
        <v>1013</v>
      </c>
    </row>
    <row r="39" spans="1:6">
      <c r="A39" s="99" t="s">
        <v>923</v>
      </c>
      <c r="B39" s="99" t="s">
        <v>1014</v>
      </c>
      <c r="C39" s="100" t="s">
        <v>1015</v>
      </c>
      <c r="D39" s="99" t="s">
        <v>1016</v>
      </c>
      <c r="E39" s="100" t="s">
        <v>1017</v>
      </c>
      <c r="F39" s="101" t="s">
        <v>1018</v>
      </c>
    </row>
    <row r="40" spans="1:6">
      <c r="A40" s="99" t="s">
        <v>923</v>
      </c>
      <c r="B40" s="99" t="s">
        <v>1019</v>
      </c>
      <c r="C40" s="100" t="s">
        <v>1020</v>
      </c>
      <c r="D40" s="99" t="s">
        <v>1021</v>
      </c>
      <c r="E40" s="100" t="s">
        <v>1022</v>
      </c>
      <c r="F40" s="101" t="s">
        <v>1023</v>
      </c>
    </row>
    <row r="41" spans="1:6">
      <c r="A41" s="99" t="s">
        <v>923</v>
      </c>
      <c r="B41" s="99" t="s">
        <v>1024</v>
      </c>
      <c r="C41" s="100" t="s">
        <v>1025</v>
      </c>
      <c r="D41" s="99" t="s">
        <v>1026</v>
      </c>
      <c r="E41" s="100" t="s">
        <v>1027</v>
      </c>
      <c r="F41" s="101" t="s">
        <v>1028</v>
      </c>
    </row>
    <row r="42" spans="1:6">
      <c r="A42" s="99" t="s">
        <v>923</v>
      </c>
      <c r="B42" s="99" t="s">
        <v>1029</v>
      </c>
      <c r="C42" s="100" t="s">
        <v>1030</v>
      </c>
      <c r="D42" s="99" t="s">
        <v>1031</v>
      </c>
      <c r="E42" s="100" t="s">
        <v>1032</v>
      </c>
      <c r="F42" s="101" t="s">
        <v>1033</v>
      </c>
    </row>
    <row r="43" spans="1:6">
      <c r="A43" s="99" t="s">
        <v>923</v>
      </c>
      <c r="B43" s="99" t="s">
        <v>1034</v>
      </c>
      <c r="C43" s="100" t="s">
        <v>1035</v>
      </c>
      <c r="D43" s="99" t="s">
        <v>1036</v>
      </c>
      <c r="E43" s="100" t="s">
        <v>1037</v>
      </c>
      <c r="F43" s="101" t="s">
        <v>1038</v>
      </c>
    </row>
    <row r="44" spans="1:6">
      <c r="A44" s="99" t="s">
        <v>923</v>
      </c>
      <c r="B44" s="99" t="s">
        <v>1039</v>
      </c>
      <c r="C44" s="100" t="s">
        <v>1040</v>
      </c>
      <c r="D44" s="99" t="s">
        <v>1041</v>
      </c>
      <c r="E44" s="100" t="s">
        <v>1042</v>
      </c>
      <c r="F44" s="101" t="s">
        <v>1043</v>
      </c>
    </row>
    <row r="45" spans="1:6">
      <c r="A45" s="99" t="s">
        <v>923</v>
      </c>
      <c r="B45" s="99" t="s">
        <v>1044</v>
      </c>
      <c r="C45" s="100" t="s">
        <v>152</v>
      </c>
      <c r="D45" s="99" t="s">
        <v>1045</v>
      </c>
      <c r="E45" s="100" t="s">
        <v>1046</v>
      </c>
      <c r="F45" s="101" t="s">
        <v>1047</v>
      </c>
    </row>
    <row r="46" spans="1:6">
      <c r="A46" s="99" t="s">
        <v>923</v>
      </c>
      <c r="B46" s="99" t="s">
        <v>1048</v>
      </c>
      <c r="C46" s="100" t="s">
        <v>1049</v>
      </c>
      <c r="D46" s="99" t="s">
        <v>1050</v>
      </c>
      <c r="E46" s="100" t="s">
        <v>1051</v>
      </c>
      <c r="F46" s="101" t="s">
        <v>1052</v>
      </c>
    </row>
    <row r="47" spans="1:6">
      <c r="A47" s="99" t="s">
        <v>923</v>
      </c>
      <c r="B47" s="99" t="s">
        <v>1053</v>
      </c>
      <c r="C47" s="100" t="s">
        <v>110</v>
      </c>
      <c r="D47" s="99" t="s">
        <v>1054</v>
      </c>
      <c r="E47" s="100" t="s">
        <v>1055</v>
      </c>
      <c r="F47" s="101" t="s">
        <v>1056</v>
      </c>
    </row>
    <row r="48" spans="1:6">
      <c r="A48" s="99" t="s">
        <v>923</v>
      </c>
      <c r="B48" s="99" t="s">
        <v>1057</v>
      </c>
      <c r="C48" s="100" t="s">
        <v>165</v>
      </c>
      <c r="D48" s="99" t="s">
        <v>1058</v>
      </c>
      <c r="E48" s="100" t="s">
        <v>1059</v>
      </c>
      <c r="F48" s="101" t="s">
        <v>1060</v>
      </c>
    </row>
    <row r="49" spans="1:6">
      <c r="A49" s="99" t="s">
        <v>923</v>
      </c>
      <c r="B49" s="99" t="s">
        <v>1061</v>
      </c>
      <c r="C49" s="100" t="s">
        <v>1062</v>
      </c>
      <c r="D49" s="99" t="s">
        <v>1063</v>
      </c>
      <c r="E49" s="100" t="s">
        <v>1064</v>
      </c>
      <c r="F49" s="101" t="s">
        <v>1065</v>
      </c>
    </row>
    <row r="50" spans="1:6">
      <c r="A50" s="99" t="s">
        <v>923</v>
      </c>
      <c r="B50" s="99" t="s">
        <v>1066</v>
      </c>
      <c r="C50" s="100" t="s">
        <v>114</v>
      </c>
      <c r="D50" s="99" t="s">
        <v>1067</v>
      </c>
      <c r="E50" s="100" t="s">
        <v>1068</v>
      </c>
      <c r="F50" s="101" t="s">
        <v>1069</v>
      </c>
    </row>
    <row r="51" spans="1:6">
      <c r="A51" s="99" t="s">
        <v>923</v>
      </c>
      <c r="B51" s="99" t="s">
        <v>1070</v>
      </c>
      <c r="C51" s="100" t="s">
        <v>1071</v>
      </c>
      <c r="D51" s="99" t="s">
        <v>1072</v>
      </c>
      <c r="E51" s="100" t="s">
        <v>1073</v>
      </c>
      <c r="F51" s="101" t="s">
        <v>1074</v>
      </c>
    </row>
    <row r="52" spans="1:6">
      <c r="A52" s="99" t="s">
        <v>923</v>
      </c>
      <c r="B52" s="99" t="s">
        <v>1075</v>
      </c>
      <c r="C52" s="100" t="s">
        <v>1076</v>
      </c>
      <c r="D52" s="99" t="s">
        <v>1077</v>
      </c>
      <c r="E52" s="100" t="s">
        <v>1078</v>
      </c>
      <c r="F52" s="101" t="s">
        <v>1079</v>
      </c>
    </row>
    <row r="53" spans="1:6">
      <c r="A53" s="99" t="s">
        <v>923</v>
      </c>
      <c r="B53" s="99" t="s">
        <v>1080</v>
      </c>
      <c r="C53" s="100" t="s">
        <v>1081</v>
      </c>
      <c r="D53" s="99" t="s">
        <v>1082</v>
      </c>
      <c r="E53" s="100" t="s">
        <v>1083</v>
      </c>
      <c r="F53" s="101" t="s">
        <v>1084</v>
      </c>
    </row>
    <row r="54" spans="1:6">
      <c r="A54" s="99" t="s">
        <v>923</v>
      </c>
      <c r="B54" s="99" t="s">
        <v>1085</v>
      </c>
      <c r="C54" s="100" t="s">
        <v>1086</v>
      </c>
      <c r="D54" s="99" t="s">
        <v>1087</v>
      </c>
      <c r="E54" s="100" t="s">
        <v>1088</v>
      </c>
      <c r="F54" s="101" t="s">
        <v>1089</v>
      </c>
    </row>
    <row r="55" spans="1:6">
      <c r="A55" s="99" t="s">
        <v>923</v>
      </c>
      <c r="B55" s="99" t="s">
        <v>1090</v>
      </c>
      <c r="C55" s="100" t="s">
        <v>156</v>
      </c>
      <c r="D55" s="99" t="s">
        <v>1091</v>
      </c>
      <c r="E55" s="100" t="s">
        <v>1092</v>
      </c>
      <c r="F55" s="101" t="s">
        <v>1093</v>
      </c>
    </row>
    <row r="56" spans="1:6">
      <c r="A56" s="99" t="s">
        <v>923</v>
      </c>
      <c r="B56" s="99" t="s">
        <v>1094</v>
      </c>
      <c r="C56" s="100" t="s">
        <v>1095</v>
      </c>
      <c r="D56" s="99" t="s">
        <v>1096</v>
      </c>
      <c r="E56" s="100" t="s">
        <v>1097</v>
      </c>
      <c r="F56" s="101" t="s">
        <v>1098</v>
      </c>
    </row>
    <row r="57" spans="1:6">
      <c r="A57" s="99" t="s">
        <v>923</v>
      </c>
      <c r="B57" s="99" t="s">
        <v>1099</v>
      </c>
      <c r="C57" s="100" t="s">
        <v>1100</v>
      </c>
      <c r="D57" s="99" t="s">
        <v>1101</v>
      </c>
      <c r="E57" s="100" t="s">
        <v>1102</v>
      </c>
      <c r="F57" s="101" t="s">
        <v>1103</v>
      </c>
    </row>
    <row r="58" spans="1:6">
      <c r="A58" s="99" t="s">
        <v>923</v>
      </c>
      <c r="B58" s="99" t="s">
        <v>1104</v>
      </c>
      <c r="C58" s="100" t="s">
        <v>1105</v>
      </c>
      <c r="D58" s="99" t="s">
        <v>1106</v>
      </c>
      <c r="E58" s="100" t="s">
        <v>1107</v>
      </c>
      <c r="F58" s="101" t="s">
        <v>1108</v>
      </c>
    </row>
    <row r="59" spans="1:6">
      <c r="A59" s="92"/>
      <c r="B59" s="92"/>
      <c r="C59" s="102"/>
      <c r="D59" s="92"/>
      <c r="E59" s="102"/>
      <c r="F59" s="103"/>
    </row>
    <row r="60" spans="1:6">
      <c r="A60" s="703" t="s">
        <v>1239</v>
      </c>
      <c r="B60" s="704"/>
      <c r="C60" s="704"/>
      <c r="D60" s="704"/>
      <c r="E60" s="704"/>
      <c r="F60" s="705"/>
    </row>
    <row r="61" spans="1:6">
      <c r="A61" s="92" t="s">
        <v>915</v>
      </c>
      <c r="B61" s="92" t="s">
        <v>916</v>
      </c>
      <c r="C61" s="92" t="s">
        <v>917</v>
      </c>
      <c r="D61" s="92" t="s">
        <v>1110</v>
      </c>
      <c r="E61" s="92" t="s">
        <v>919</v>
      </c>
      <c r="F61" s="93" t="s">
        <v>920</v>
      </c>
    </row>
    <row r="62" spans="1:6">
      <c r="A62" s="104" t="s">
        <v>1111</v>
      </c>
      <c r="B62" s="104" t="s">
        <v>1115</v>
      </c>
      <c r="C62" s="104" t="s">
        <v>721</v>
      </c>
      <c r="D62" s="104"/>
      <c r="E62" s="104" t="s">
        <v>1116</v>
      </c>
      <c r="F62" s="105" t="s">
        <v>1117</v>
      </c>
    </row>
    <row r="63" spans="1:6">
      <c r="A63" s="104" t="s">
        <v>1111</v>
      </c>
      <c r="B63" s="104" t="s">
        <v>1118</v>
      </c>
      <c r="C63" s="104" t="s">
        <v>260</v>
      </c>
      <c r="D63" s="104"/>
      <c r="E63" s="104" t="s">
        <v>1119</v>
      </c>
      <c r="F63" s="105" t="s">
        <v>1120</v>
      </c>
    </row>
    <row r="64" spans="1:6">
      <c r="A64" s="104" t="s">
        <v>1111</v>
      </c>
      <c r="B64" s="104" t="s">
        <v>1121</v>
      </c>
      <c r="C64" s="104" t="s">
        <v>264</v>
      </c>
      <c r="D64" s="104"/>
      <c r="E64" s="104" t="s">
        <v>1122</v>
      </c>
      <c r="F64" s="105" t="s">
        <v>1123</v>
      </c>
    </row>
    <row r="65" spans="1:6">
      <c r="A65" s="104" t="s">
        <v>1111</v>
      </c>
      <c r="B65" s="104" t="s">
        <v>1124</v>
      </c>
      <c r="C65" s="104" t="s">
        <v>268</v>
      </c>
      <c r="D65" s="104"/>
      <c r="E65" s="104" t="s">
        <v>1125</v>
      </c>
      <c r="F65" s="105" t="s">
        <v>1126</v>
      </c>
    </row>
    <row r="66" spans="1:6">
      <c r="A66" s="104" t="s">
        <v>1111</v>
      </c>
      <c r="B66" s="104" t="s">
        <v>1127</v>
      </c>
      <c r="C66" s="104" t="s">
        <v>273</v>
      </c>
      <c r="D66" s="104"/>
      <c r="E66" s="104" t="s">
        <v>1128</v>
      </c>
      <c r="F66" s="105" t="s">
        <v>1129</v>
      </c>
    </row>
    <row r="67" spans="1:6">
      <c r="A67" s="104" t="s">
        <v>1111</v>
      </c>
      <c r="B67" s="104" t="s">
        <v>1130</v>
      </c>
      <c r="C67" s="104" t="s">
        <v>276</v>
      </c>
      <c r="D67" s="104"/>
      <c r="E67" s="104" t="s">
        <v>1131</v>
      </c>
      <c r="F67" s="105" t="s">
        <v>1132</v>
      </c>
    </row>
    <row r="68" spans="1:6">
      <c r="A68" s="104" t="s">
        <v>1111</v>
      </c>
      <c r="B68" s="104" t="s">
        <v>1133</v>
      </c>
      <c r="C68" s="104" t="s">
        <v>279</v>
      </c>
      <c r="D68" s="104"/>
      <c r="E68" s="104" t="s">
        <v>1134</v>
      </c>
      <c r="F68" s="105" t="s">
        <v>1135</v>
      </c>
    </row>
    <row r="69" spans="1:6">
      <c r="A69" s="104" t="s">
        <v>1111</v>
      </c>
      <c r="B69" s="104" t="s">
        <v>1136</v>
      </c>
      <c r="C69" s="104" t="s">
        <v>283</v>
      </c>
      <c r="D69" s="104"/>
      <c r="E69" s="104" t="s">
        <v>1137</v>
      </c>
      <c r="F69" s="105" t="s">
        <v>1138</v>
      </c>
    </row>
    <row r="70" spans="1:6">
      <c r="A70" s="104" t="s">
        <v>1111</v>
      </c>
      <c r="B70" s="104" t="s">
        <v>1139</v>
      </c>
      <c r="C70" s="104" t="s">
        <v>286</v>
      </c>
      <c r="D70" s="104"/>
      <c r="E70" s="104" t="s">
        <v>1140</v>
      </c>
      <c r="F70" s="105" t="s">
        <v>1141</v>
      </c>
    </row>
    <row r="71" spans="1:6">
      <c r="A71" s="104" t="s">
        <v>1111</v>
      </c>
      <c r="B71" s="104" t="s">
        <v>1142</v>
      </c>
      <c r="C71" s="104" t="s">
        <v>271</v>
      </c>
      <c r="D71" s="104"/>
      <c r="E71" s="104" t="s">
        <v>1143</v>
      </c>
      <c r="F71" s="105" t="s">
        <v>1144</v>
      </c>
    </row>
    <row r="72" spans="1:6">
      <c r="A72" s="104" t="s">
        <v>1111</v>
      </c>
      <c r="B72" s="104" t="s">
        <v>1145</v>
      </c>
      <c r="C72" s="104" t="s">
        <v>291</v>
      </c>
      <c r="D72" s="104"/>
      <c r="E72" s="104" t="s">
        <v>1146</v>
      </c>
      <c r="F72" s="105" t="s">
        <v>1147</v>
      </c>
    </row>
    <row r="73" spans="1:6">
      <c r="A73" s="104" t="s">
        <v>1111</v>
      </c>
      <c r="B73" s="104" t="s">
        <v>1148</v>
      </c>
      <c r="C73" s="104" t="s">
        <v>294</v>
      </c>
      <c r="D73" s="104"/>
      <c r="E73" s="104" t="s">
        <v>1149</v>
      </c>
      <c r="F73" s="105" t="s">
        <v>1150</v>
      </c>
    </row>
    <row r="74" spans="1:6">
      <c r="A74" s="104" t="s">
        <v>1111</v>
      </c>
      <c r="B74" s="104" t="s">
        <v>1151</v>
      </c>
      <c r="C74" s="104" t="s">
        <v>282</v>
      </c>
      <c r="D74" s="104"/>
      <c r="E74" s="104" t="s">
        <v>1152</v>
      </c>
      <c r="F74" s="105" t="s">
        <v>1153</v>
      </c>
    </row>
    <row r="75" spans="1:6">
      <c r="A75" s="104" t="s">
        <v>1111</v>
      </c>
      <c r="B75" s="104" t="s">
        <v>1154</v>
      </c>
      <c r="C75" s="104" t="s">
        <v>293</v>
      </c>
      <c r="D75" s="104"/>
      <c r="E75" s="104" t="s">
        <v>1155</v>
      </c>
      <c r="F75" s="105" t="s">
        <v>1156</v>
      </c>
    </row>
    <row r="76" spans="1:6">
      <c r="A76" s="104" t="s">
        <v>1111</v>
      </c>
      <c r="B76" s="104" t="s">
        <v>1157</v>
      </c>
      <c r="C76" s="104" t="s">
        <v>252</v>
      </c>
      <c r="D76" s="104"/>
      <c r="E76" s="104" t="s">
        <v>1158</v>
      </c>
      <c r="F76" s="105" t="s">
        <v>1159</v>
      </c>
    </row>
    <row r="77" spans="1:6">
      <c r="A77" s="104" t="s">
        <v>1111</v>
      </c>
      <c r="B77" s="104" t="s">
        <v>1160</v>
      </c>
      <c r="C77" s="104" t="s">
        <v>305</v>
      </c>
      <c r="D77" s="104"/>
      <c r="E77" s="104" t="s">
        <v>1161</v>
      </c>
      <c r="F77" s="105" t="s">
        <v>1162</v>
      </c>
    </row>
    <row r="78" spans="1:6">
      <c r="A78" s="104" t="s">
        <v>1111</v>
      </c>
      <c r="B78" s="104" t="s">
        <v>1163</v>
      </c>
      <c r="C78" s="104" t="s">
        <v>308</v>
      </c>
      <c r="D78" s="104"/>
      <c r="E78" s="104" t="s">
        <v>1164</v>
      </c>
      <c r="F78" s="105" t="s">
        <v>1165</v>
      </c>
    </row>
    <row r="79" spans="1:6">
      <c r="A79" s="104" t="s">
        <v>1111</v>
      </c>
      <c r="B79" s="104" t="s">
        <v>1166</v>
      </c>
      <c r="C79" s="104" t="s">
        <v>298</v>
      </c>
      <c r="D79" s="104"/>
      <c r="E79" s="104" t="s">
        <v>1167</v>
      </c>
      <c r="F79" s="105" t="s">
        <v>1168</v>
      </c>
    </row>
    <row r="80" spans="1:6">
      <c r="A80" s="104" t="s">
        <v>1111</v>
      </c>
      <c r="B80" s="104" t="s">
        <v>1172</v>
      </c>
      <c r="C80" s="104" t="s">
        <v>312</v>
      </c>
      <c r="D80" s="104"/>
      <c r="E80" s="104" t="s">
        <v>1173</v>
      </c>
      <c r="F80" s="105" t="s">
        <v>1174</v>
      </c>
    </row>
    <row r="81" spans="1:6">
      <c r="A81" s="104" t="s">
        <v>1111</v>
      </c>
      <c r="B81" s="104" t="s">
        <v>1175</v>
      </c>
      <c r="C81" s="104" t="s">
        <v>257</v>
      </c>
      <c r="D81" s="104"/>
      <c r="E81" s="104" t="s">
        <v>1176</v>
      </c>
      <c r="F81" s="105" t="s">
        <v>1177</v>
      </c>
    </row>
    <row r="82" spans="1:6">
      <c r="A82" s="104" t="s">
        <v>1111</v>
      </c>
      <c r="B82" s="104" t="s">
        <v>1178</v>
      </c>
      <c r="C82" s="104" t="s">
        <v>275</v>
      </c>
      <c r="D82" s="104"/>
      <c r="E82" s="104" t="s">
        <v>1179</v>
      </c>
      <c r="F82" s="105" t="s">
        <v>1180</v>
      </c>
    </row>
    <row r="83" spans="1:6">
      <c r="A83" s="104" t="s">
        <v>1111</v>
      </c>
      <c r="B83" s="104" t="s">
        <v>1181</v>
      </c>
      <c r="C83" s="104" t="s">
        <v>307</v>
      </c>
      <c r="D83" s="104"/>
      <c r="E83" s="104" t="s">
        <v>1182</v>
      </c>
      <c r="F83" s="105" t="s">
        <v>1183</v>
      </c>
    </row>
    <row r="84" spans="1:6">
      <c r="A84" s="104" t="s">
        <v>1111</v>
      </c>
      <c r="B84" s="104" t="s">
        <v>1184</v>
      </c>
      <c r="C84" s="104" t="s">
        <v>288</v>
      </c>
      <c r="D84" s="104"/>
      <c r="E84" s="104" t="s">
        <v>1185</v>
      </c>
      <c r="F84" s="105" t="s">
        <v>1186</v>
      </c>
    </row>
    <row r="85" spans="1:6">
      <c r="A85" s="104" t="s">
        <v>1111</v>
      </c>
      <c r="B85" s="104" t="s">
        <v>1187</v>
      </c>
      <c r="C85" s="104" t="s">
        <v>304</v>
      </c>
      <c r="D85" s="104"/>
      <c r="E85" s="104" t="s">
        <v>1188</v>
      </c>
      <c r="F85" s="105" t="s">
        <v>1189</v>
      </c>
    </row>
    <row r="86" spans="1:6">
      <c r="A86" s="104" t="s">
        <v>1111</v>
      </c>
      <c r="B86" s="104" t="s">
        <v>1190</v>
      </c>
      <c r="C86" s="104" t="s">
        <v>317</v>
      </c>
      <c r="D86" s="104"/>
      <c r="E86" s="104" t="s">
        <v>1191</v>
      </c>
      <c r="F86" s="105" t="s">
        <v>1192</v>
      </c>
    </row>
    <row r="87" spans="1:6">
      <c r="A87" s="104" t="s">
        <v>1111</v>
      </c>
      <c r="B87" s="104" t="s">
        <v>1193</v>
      </c>
      <c r="C87" s="104" t="s">
        <v>310</v>
      </c>
      <c r="D87" s="104"/>
      <c r="E87" s="104" t="s">
        <v>1194</v>
      </c>
      <c r="F87" s="105" t="s">
        <v>1195</v>
      </c>
    </row>
    <row r="88" spans="1:6">
      <c r="A88" s="104" t="s">
        <v>1111</v>
      </c>
      <c r="B88" s="104" t="s">
        <v>1196</v>
      </c>
      <c r="C88" s="104" t="s">
        <v>324</v>
      </c>
      <c r="D88" s="104"/>
      <c r="E88" s="104" t="s">
        <v>1197</v>
      </c>
      <c r="F88" s="105" t="s">
        <v>1198</v>
      </c>
    </row>
    <row r="89" spans="1:6">
      <c r="A89" s="104" t="s">
        <v>1111</v>
      </c>
      <c r="B89" s="104" t="s">
        <v>1199</v>
      </c>
      <c r="C89" s="104" t="s">
        <v>320</v>
      </c>
      <c r="D89" s="104"/>
      <c r="E89" s="104" t="s">
        <v>1200</v>
      </c>
      <c r="F89" s="105" t="s">
        <v>1201</v>
      </c>
    </row>
    <row r="90" spans="1:6">
      <c r="A90" s="104" t="s">
        <v>1111</v>
      </c>
      <c r="B90" s="104" t="s">
        <v>1202</v>
      </c>
      <c r="C90" s="104" t="s">
        <v>328</v>
      </c>
      <c r="D90" s="104"/>
      <c r="E90" s="104" t="s">
        <v>1203</v>
      </c>
      <c r="F90" s="105" t="s">
        <v>1204</v>
      </c>
    </row>
    <row r="91" spans="1:6">
      <c r="A91" s="104" t="s">
        <v>1111</v>
      </c>
      <c r="B91" s="104" t="s">
        <v>1205</v>
      </c>
      <c r="C91" s="104" t="s">
        <v>290</v>
      </c>
      <c r="D91" s="104"/>
      <c r="E91" s="104" t="s">
        <v>1206</v>
      </c>
      <c r="F91" s="105" t="s">
        <v>1207</v>
      </c>
    </row>
    <row r="92" spans="1:6">
      <c r="A92" s="104" t="s">
        <v>1111</v>
      </c>
      <c r="B92" s="104" t="s">
        <v>1208</v>
      </c>
      <c r="C92" s="104" t="s">
        <v>300</v>
      </c>
      <c r="D92" s="104"/>
      <c r="E92" s="104" t="s">
        <v>1209</v>
      </c>
      <c r="F92" s="105" t="s">
        <v>1210</v>
      </c>
    </row>
    <row r="93" spans="1:6">
      <c r="A93" s="104" t="s">
        <v>1111</v>
      </c>
      <c r="B93" s="104" t="s">
        <v>1211</v>
      </c>
      <c r="C93" s="104" t="s">
        <v>323</v>
      </c>
      <c r="D93" s="104"/>
      <c r="E93" s="104" t="s">
        <v>1212</v>
      </c>
      <c r="F93" s="105" t="s">
        <v>1213</v>
      </c>
    </row>
    <row r="94" spans="1:6">
      <c r="A94" s="104" t="s">
        <v>1111</v>
      </c>
      <c r="B94" s="104" t="s">
        <v>1214</v>
      </c>
      <c r="C94" s="104" t="s">
        <v>262</v>
      </c>
      <c r="D94" s="104"/>
      <c r="E94" s="104" t="s">
        <v>1215</v>
      </c>
      <c r="F94" s="105" t="s">
        <v>1216</v>
      </c>
    </row>
    <row r="95" spans="1:6">
      <c r="A95" s="104" t="s">
        <v>1111</v>
      </c>
      <c r="B95" s="104" t="s">
        <v>1217</v>
      </c>
      <c r="C95" s="104" t="s">
        <v>267</v>
      </c>
      <c r="D95" s="104"/>
      <c r="E95" s="104" t="s">
        <v>1218</v>
      </c>
      <c r="F95" s="105" t="s">
        <v>1219</v>
      </c>
    </row>
    <row r="96" spans="1:6">
      <c r="A96" s="104" t="s">
        <v>1111</v>
      </c>
      <c r="B96" s="104" t="s">
        <v>1220</v>
      </c>
      <c r="C96" s="104" t="s">
        <v>278</v>
      </c>
      <c r="D96" s="104"/>
      <c r="E96" s="104" t="s">
        <v>1221</v>
      </c>
      <c r="F96" s="105" t="s">
        <v>1222</v>
      </c>
    </row>
    <row r="97" spans="1:6">
      <c r="A97" s="104" t="s">
        <v>1111</v>
      </c>
      <c r="B97" s="104" t="s">
        <v>1223</v>
      </c>
      <c r="C97" s="104" t="s">
        <v>326</v>
      </c>
      <c r="D97" s="104"/>
      <c r="E97" s="104" t="s">
        <v>1224</v>
      </c>
      <c r="F97" s="105" t="s">
        <v>1225</v>
      </c>
    </row>
    <row r="100" spans="1:6">
      <c r="A100" s="92"/>
      <c r="B100" s="92"/>
      <c r="C100" s="102"/>
      <c r="D100" s="92"/>
      <c r="E100" s="102"/>
      <c r="F100" s="103"/>
    </row>
    <row r="101" spans="1:6" ht="16.5">
      <c r="A101" s="706" t="s">
        <v>1226</v>
      </c>
      <c r="B101" s="707"/>
      <c r="C101" s="707"/>
      <c r="D101" s="707"/>
      <c r="E101" s="707"/>
      <c r="F101" s="708"/>
    </row>
    <row r="102" spans="1:6">
      <c r="A102" s="106" t="s">
        <v>915</v>
      </c>
      <c r="B102" s="106" t="s">
        <v>916</v>
      </c>
      <c r="C102" s="106" t="s">
        <v>917</v>
      </c>
      <c r="D102" s="106" t="s">
        <v>918</v>
      </c>
      <c r="E102" s="106" t="s">
        <v>919</v>
      </c>
      <c r="F102" s="106" t="s">
        <v>920</v>
      </c>
    </row>
    <row r="103" spans="1:6">
      <c r="A103" s="106" t="s">
        <v>921</v>
      </c>
      <c r="B103" s="107" t="s">
        <v>1227</v>
      </c>
      <c r="C103" s="106" t="s">
        <v>1228</v>
      </c>
      <c r="D103" s="106"/>
      <c r="E103" s="108" t="s">
        <v>1229</v>
      </c>
      <c r="F103" s="109" t="s">
        <v>1230</v>
      </c>
    </row>
    <row r="104" spans="1:6">
      <c r="A104" s="106" t="s">
        <v>921</v>
      </c>
      <c r="B104" s="107" t="s">
        <v>1231</v>
      </c>
      <c r="C104" s="106" t="s">
        <v>1232</v>
      </c>
      <c r="D104" s="106"/>
      <c r="E104" s="108" t="s">
        <v>1233</v>
      </c>
      <c r="F104" s="109" t="s">
        <v>1234</v>
      </c>
    </row>
    <row r="105" spans="1:6">
      <c r="A105" s="106" t="s">
        <v>921</v>
      </c>
      <c r="B105" s="107" t="s">
        <v>1235</v>
      </c>
      <c r="C105" s="106" t="s">
        <v>1236</v>
      </c>
      <c r="D105" s="106"/>
      <c r="E105" s="108" t="s">
        <v>1237</v>
      </c>
      <c r="F105" s="109" t="s">
        <v>1238</v>
      </c>
    </row>
    <row r="116" spans="1:6" hidden="1">
      <c r="A116" s="104" t="s">
        <v>1111</v>
      </c>
      <c r="B116" s="104" t="s">
        <v>1112</v>
      </c>
      <c r="C116" s="104" t="s">
        <v>714</v>
      </c>
      <c r="D116" s="104"/>
      <c r="E116" s="104" t="s">
        <v>1113</v>
      </c>
      <c r="F116" s="105" t="s">
        <v>1114</v>
      </c>
    </row>
    <row r="117" spans="1:6" hidden="1">
      <c r="A117" s="104" t="s">
        <v>1111</v>
      </c>
      <c r="B117" s="104" t="s">
        <v>1169</v>
      </c>
      <c r="C117" s="104" t="s">
        <v>817</v>
      </c>
      <c r="D117" s="104"/>
      <c r="E117" s="104" t="s">
        <v>1170</v>
      </c>
      <c r="F117" s="105" t="s">
        <v>1171</v>
      </c>
    </row>
  </sheetData>
  <mergeCells count="4">
    <mergeCell ref="A1:F1"/>
    <mergeCell ref="A16:F16"/>
    <mergeCell ref="A60:F60"/>
    <mergeCell ref="A101:F101"/>
  </mergeCells>
  <phoneticPr fontId="7" type="noConversion"/>
  <conditionalFormatting sqref="C103:C105">
    <cfRule type="duplicateValues" dxfId="475" priority="1"/>
  </conditionalFormatting>
  <hyperlinks>
    <hyperlink ref="F37" r:id="rId1"/>
    <hyperlink ref="F38" r:id="rId2"/>
    <hyperlink ref="F45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BJ211"/>
  <sheetViews>
    <sheetView tabSelected="1"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"/>
    </sheetView>
  </sheetViews>
  <sheetFormatPr defaultColWidth="10.28515625" defaultRowHeight="18.75"/>
  <cols>
    <col min="1" max="1" width="30.5703125" style="1" customWidth="1"/>
    <col min="2" max="2" width="32.85546875" style="4" customWidth="1"/>
    <col min="3" max="14" width="19.7109375" style="1" customWidth="1"/>
    <col min="15" max="15" width="13.42578125" style="1" bestFit="1" customWidth="1"/>
    <col min="16" max="16" width="23.85546875" style="1" hidden="1" customWidth="1"/>
    <col min="17" max="17" width="10.28515625" style="3" hidden="1" customWidth="1"/>
    <col min="18" max="18" width="13.42578125" style="3" hidden="1" customWidth="1"/>
    <col min="19" max="19" width="7.7109375" style="3" hidden="1" customWidth="1"/>
    <col min="20" max="23" width="5" style="3" hidden="1" customWidth="1"/>
    <col min="24" max="24" width="20" style="3" hidden="1" customWidth="1"/>
    <col min="25" max="25" width="6.42578125" style="1" hidden="1" customWidth="1"/>
    <col min="26" max="26" width="4.85546875" style="172" hidden="1" customWidth="1"/>
    <col min="27" max="27" width="14.85546875" style="1" hidden="1" customWidth="1"/>
    <col min="28" max="28" width="16.42578125" style="4" hidden="1" customWidth="1"/>
    <col min="29" max="29" width="22.140625" style="4" hidden="1" customWidth="1"/>
    <col min="30" max="30" width="16.42578125" style="4" hidden="1" customWidth="1"/>
    <col min="31" max="34" width="16.42578125" style="1" hidden="1" customWidth="1"/>
    <col min="35" max="35" width="10.28515625" style="1" hidden="1" customWidth="1"/>
    <col min="36" max="36" width="20.28515625" style="1" hidden="1" customWidth="1"/>
    <col min="37" max="37" width="255.7109375" style="1" hidden="1" customWidth="1"/>
    <col min="38" max="38" width="16.42578125" style="1" hidden="1" customWidth="1"/>
    <col min="39" max="39" width="7.7109375" style="1" hidden="1" customWidth="1"/>
    <col min="40" max="57" width="0" style="1" hidden="1" customWidth="1"/>
    <col min="58" max="58" width="14.85546875" style="1" hidden="1" customWidth="1"/>
    <col min="59" max="59" width="16.42578125" style="1" hidden="1" customWidth="1"/>
    <col min="60" max="60" width="7.7109375" style="1" hidden="1" customWidth="1"/>
    <col min="61" max="62" width="0" style="1" hidden="1" customWidth="1"/>
    <col min="63" max="16384" width="10.28515625" style="173"/>
  </cols>
  <sheetData>
    <row r="1" spans="1:62">
      <c r="A1" s="709" t="s">
        <v>0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2"/>
      <c r="P1" s="3"/>
      <c r="Y1" s="3"/>
    </row>
    <row r="2" spans="1:62">
      <c r="A2" s="6" t="s">
        <v>1</v>
      </c>
      <c r="B2" s="6" t="s">
        <v>2</v>
      </c>
      <c r="C2" s="11">
        <v>11508</v>
      </c>
      <c r="D2" s="11">
        <v>11509</v>
      </c>
      <c r="E2" s="11">
        <v>11510</v>
      </c>
      <c r="F2" s="11">
        <v>11511</v>
      </c>
      <c r="G2" s="11">
        <v>11512</v>
      </c>
      <c r="H2" s="11">
        <v>11601</v>
      </c>
      <c r="I2" s="11">
        <v>11602</v>
      </c>
      <c r="J2" s="11">
        <v>11603</v>
      </c>
      <c r="K2" s="11">
        <v>11604</v>
      </c>
      <c r="L2" s="11">
        <v>11605</v>
      </c>
      <c r="M2" s="11">
        <v>11606</v>
      </c>
      <c r="N2" s="11">
        <v>11607</v>
      </c>
      <c r="O2" s="6" t="s">
        <v>3</v>
      </c>
      <c r="AA2" s="174" t="s">
        <v>4</v>
      </c>
      <c r="AB2" s="175" t="s">
        <v>5</v>
      </c>
      <c r="AC2" s="176" t="s">
        <v>6</v>
      </c>
      <c r="AD2" s="176" t="s">
        <v>7</v>
      </c>
      <c r="AE2" s="176" t="s">
        <v>8</v>
      </c>
      <c r="AF2" s="176" t="s">
        <v>9</v>
      </c>
      <c r="AG2" s="176" t="s">
        <v>10</v>
      </c>
      <c r="AH2" s="176" t="s">
        <v>11</v>
      </c>
      <c r="AJ2" s="1" t="s">
        <v>12</v>
      </c>
      <c r="BF2" s="6" t="s">
        <v>4</v>
      </c>
      <c r="BG2" s="6" t="s">
        <v>13</v>
      </c>
      <c r="BH2" s="6" t="s">
        <v>14</v>
      </c>
    </row>
    <row r="3" spans="1:62" ht="37.5">
      <c r="A3" s="11" t="s">
        <v>15</v>
      </c>
      <c r="B3" s="6" t="s">
        <v>1819</v>
      </c>
      <c r="C3" s="28" t="s">
        <v>17</v>
      </c>
      <c r="D3" s="78" t="s">
        <v>18</v>
      </c>
      <c r="E3" s="78" t="s">
        <v>19</v>
      </c>
      <c r="F3" s="78" t="s">
        <v>20</v>
      </c>
      <c r="G3" s="171" t="s">
        <v>21</v>
      </c>
      <c r="H3" s="11" t="s">
        <v>22</v>
      </c>
      <c r="I3" s="9" t="s">
        <v>23</v>
      </c>
      <c r="J3" s="9" t="s">
        <v>24</v>
      </c>
      <c r="K3" s="80" t="s">
        <v>25</v>
      </c>
      <c r="L3" s="171" t="s">
        <v>26</v>
      </c>
      <c r="M3" s="11" t="s">
        <v>27</v>
      </c>
      <c r="N3" s="11" t="s">
        <v>28</v>
      </c>
      <c r="O3" s="11"/>
      <c r="AA3" s="6" t="s">
        <v>29</v>
      </c>
      <c r="AB3" s="6" t="s">
        <v>30</v>
      </c>
      <c r="AC3" s="6" t="s">
        <v>26</v>
      </c>
      <c r="AD3" s="6" t="s">
        <v>21</v>
      </c>
      <c r="AE3" s="6" t="s">
        <v>31</v>
      </c>
      <c r="AF3" s="6" t="s">
        <v>32</v>
      </c>
      <c r="AG3" s="6" t="s">
        <v>33</v>
      </c>
      <c r="AH3" s="55"/>
      <c r="AI3" s="55"/>
      <c r="AJ3" s="1" t="s">
        <v>34</v>
      </c>
      <c r="AK3" s="10" t="s">
        <v>35</v>
      </c>
      <c r="BF3" s="6" t="s">
        <v>36</v>
      </c>
      <c r="BG3" s="6" t="s">
        <v>33</v>
      </c>
      <c r="BH3" s="6">
        <v>7</v>
      </c>
    </row>
    <row r="4" spans="1:62">
      <c r="A4" s="11" t="s">
        <v>37</v>
      </c>
      <c r="B4" s="6" t="s">
        <v>38</v>
      </c>
      <c r="C4" s="78" t="s">
        <v>19</v>
      </c>
      <c r="D4" s="78" t="s">
        <v>39</v>
      </c>
      <c r="E4" s="78" t="s">
        <v>40</v>
      </c>
      <c r="F4" s="11" t="s">
        <v>41</v>
      </c>
      <c r="G4" s="80" t="s">
        <v>25</v>
      </c>
      <c r="H4" s="171" t="s">
        <v>32</v>
      </c>
      <c r="I4" s="11" t="s">
        <v>22</v>
      </c>
      <c r="J4" s="171" t="s">
        <v>31</v>
      </c>
      <c r="K4" s="9" t="s">
        <v>23</v>
      </c>
      <c r="L4" s="9" t="s">
        <v>62</v>
      </c>
      <c r="M4" s="28" t="s">
        <v>17</v>
      </c>
      <c r="N4" s="11" t="s">
        <v>43</v>
      </c>
      <c r="O4" s="12"/>
      <c r="AA4" s="6" t="s">
        <v>44</v>
      </c>
      <c r="AB4" s="6" t="s">
        <v>30</v>
      </c>
      <c r="AC4" s="6" t="s">
        <v>33</v>
      </c>
      <c r="AD4" s="6" t="s">
        <v>45</v>
      </c>
      <c r="AE4" s="6" t="s">
        <v>31</v>
      </c>
      <c r="AF4" s="6" t="s">
        <v>32</v>
      </c>
      <c r="AG4" s="6" t="s">
        <v>46</v>
      </c>
      <c r="AH4" s="55"/>
      <c r="AJ4" s="1" t="s">
        <v>47</v>
      </c>
      <c r="AK4" s="10" t="s">
        <v>48</v>
      </c>
      <c r="BF4" s="6" t="s">
        <v>49</v>
      </c>
      <c r="BG4" s="6" t="s">
        <v>33</v>
      </c>
      <c r="BH4" s="6">
        <v>7</v>
      </c>
    </row>
    <row r="5" spans="1:62" ht="37.5">
      <c r="A5" s="11" t="s">
        <v>50</v>
      </c>
      <c r="B5" s="6" t="s">
        <v>51</v>
      </c>
      <c r="C5" s="11" t="s">
        <v>28</v>
      </c>
      <c r="D5" s="171" t="s">
        <v>21</v>
      </c>
      <c r="E5" s="9" t="s">
        <v>23</v>
      </c>
      <c r="F5" s="9" t="s">
        <v>24</v>
      </c>
      <c r="G5" s="78" t="s">
        <v>19</v>
      </c>
      <c r="H5" s="78" t="s">
        <v>39</v>
      </c>
      <c r="I5" s="13" t="s">
        <v>137</v>
      </c>
      <c r="J5" s="11" t="s">
        <v>52</v>
      </c>
      <c r="K5" s="80" t="s">
        <v>25</v>
      </c>
      <c r="L5" s="28" t="s">
        <v>17</v>
      </c>
      <c r="M5" s="11" t="s">
        <v>22</v>
      </c>
      <c r="N5" s="171" t="s">
        <v>33</v>
      </c>
      <c r="O5" s="11"/>
      <c r="AA5" s="6" t="s">
        <v>53</v>
      </c>
      <c r="AB5" s="6" t="s">
        <v>30</v>
      </c>
      <c r="AC5" s="6" t="s">
        <v>26</v>
      </c>
      <c r="AD5" s="6" t="s">
        <v>32</v>
      </c>
      <c r="AE5" s="11" t="s">
        <v>43</v>
      </c>
      <c r="AF5" s="6" t="s">
        <v>54</v>
      </c>
      <c r="AG5" s="6" t="s">
        <v>55</v>
      </c>
      <c r="AH5" s="57"/>
      <c r="AJ5" s="1" t="s">
        <v>56</v>
      </c>
      <c r="AK5" s="10" t="s">
        <v>57</v>
      </c>
      <c r="BF5" s="15" t="s">
        <v>58</v>
      </c>
      <c r="BG5" s="6" t="s">
        <v>31</v>
      </c>
      <c r="BH5" s="6">
        <v>1</v>
      </c>
    </row>
    <row r="6" spans="1:62">
      <c r="A6" s="11" t="s">
        <v>59</v>
      </c>
      <c r="B6" s="6" t="s">
        <v>60</v>
      </c>
      <c r="C6" s="78" t="s">
        <v>19</v>
      </c>
      <c r="D6" s="78" t="s">
        <v>20</v>
      </c>
      <c r="E6" s="78" t="s">
        <v>61</v>
      </c>
      <c r="F6" s="80" t="s">
        <v>25</v>
      </c>
      <c r="G6" s="11" t="s">
        <v>52</v>
      </c>
      <c r="H6" s="9" t="s">
        <v>23</v>
      </c>
      <c r="I6" s="9" t="s">
        <v>62</v>
      </c>
      <c r="J6" s="11" t="s">
        <v>63</v>
      </c>
      <c r="K6" s="11" t="s">
        <v>22</v>
      </c>
      <c r="L6" s="28" t="s">
        <v>17</v>
      </c>
      <c r="M6" s="11" t="s">
        <v>64</v>
      </c>
      <c r="N6" s="11" t="s">
        <v>65</v>
      </c>
      <c r="O6" s="11"/>
      <c r="AA6" s="6" t="s">
        <v>66</v>
      </c>
      <c r="AB6" s="6" t="s">
        <v>30</v>
      </c>
      <c r="AC6" s="6" t="s">
        <v>67</v>
      </c>
      <c r="AD6" s="6" t="s">
        <v>21</v>
      </c>
      <c r="AE6" s="6" t="s">
        <v>31</v>
      </c>
      <c r="AF6" s="6" t="s">
        <v>32</v>
      </c>
      <c r="AG6" s="6" t="s">
        <v>45</v>
      </c>
      <c r="AH6" s="6" t="s">
        <v>26</v>
      </c>
      <c r="AJ6" s="1" t="s">
        <v>68</v>
      </c>
      <c r="AK6" s="4" t="s">
        <v>69</v>
      </c>
      <c r="BF6" s="6" t="s">
        <v>70</v>
      </c>
      <c r="BG6" s="11" t="s">
        <v>67</v>
      </c>
      <c r="BH6" s="6">
        <v>5</v>
      </c>
    </row>
    <row r="7" spans="1:62">
      <c r="A7" s="11" t="s">
        <v>71</v>
      </c>
      <c r="B7" s="6" t="s">
        <v>1830</v>
      </c>
      <c r="C7" s="78" t="s">
        <v>61</v>
      </c>
      <c r="D7" s="78" t="s">
        <v>20</v>
      </c>
      <c r="E7" s="13" t="s">
        <v>18</v>
      </c>
      <c r="F7" s="80" t="s">
        <v>25</v>
      </c>
      <c r="G7" s="11" t="s">
        <v>46</v>
      </c>
      <c r="H7" s="171" t="s">
        <v>46</v>
      </c>
      <c r="I7" s="171" t="s">
        <v>73</v>
      </c>
      <c r="J7" s="28" t="s">
        <v>17</v>
      </c>
      <c r="K7" s="9" t="s">
        <v>125</v>
      </c>
      <c r="L7" s="9" t="s">
        <v>23</v>
      </c>
      <c r="M7" s="11" t="s">
        <v>74</v>
      </c>
      <c r="N7" s="21" t="s">
        <v>75</v>
      </c>
      <c r="O7" s="11"/>
      <c r="AA7" s="6" t="s">
        <v>76</v>
      </c>
      <c r="AB7" s="6" t="s">
        <v>30</v>
      </c>
      <c r="AC7" s="6" t="s">
        <v>55</v>
      </c>
      <c r="AD7" s="6" t="s">
        <v>32</v>
      </c>
      <c r="AE7" s="6" t="s">
        <v>33</v>
      </c>
      <c r="AF7" s="6" t="s">
        <v>45</v>
      </c>
      <c r="AG7" s="6" t="s">
        <v>55</v>
      </c>
      <c r="AH7" s="55"/>
      <c r="AJ7" s="1" t="s">
        <v>77</v>
      </c>
      <c r="AK7" s="4" t="s">
        <v>78</v>
      </c>
      <c r="BF7" s="6" t="s">
        <v>79</v>
      </c>
      <c r="BG7" s="6" t="s">
        <v>33</v>
      </c>
      <c r="BH7" s="6">
        <v>9</v>
      </c>
    </row>
    <row r="8" spans="1:62">
      <c r="A8" s="11" t="s">
        <v>80</v>
      </c>
      <c r="B8" s="82" t="s">
        <v>66</v>
      </c>
      <c r="C8" s="171" t="s">
        <v>67</v>
      </c>
      <c r="D8" s="11" t="s">
        <v>65</v>
      </c>
      <c r="E8" s="28" t="s">
        <v>17</v>
      </c>
      <c r="F8" s="11" t="s">
        <v>28</v>
      </c>
      <c r="G8" s="11" t="s">
        <v>22</v>
      </c>
      <c r="H8" s="78" t="s">
        <v>19</v>
      </c>
      <c r="I8" s="78" t="s">
        <v>39</v>
      </c>
      <c r="J8" s="78" t="s">
        <v>20</v>
      </c>
      <c r="K8" s="171" t="s">
        <v>45</v>
      </c>
      <c r="L8" s="80" t="s">
        <v>25</v>
      </c>
      <c r="M8" s="9" t="s">
        <v>23</v>
      </c>
      <c r="N8" s="9" t="s">
        <v>143</v>
      </c>
      <c r="O8" s="11"/>
      <c r="AA8" s="6" t="s">
        <v>81</v>
      </c>
      <c r="AB8" s="6" t="s">
        <v>30</v>
      </c>
      <c r="AC8" s="6" t="s">
        <v>55</v>
      </c>
      <c r="AD8" s="6" t="s">
        <v>31</v>
      </c>
      <c r="AE8" s="6" t="s">
        <v>33</v>
      </c>
      <c r="AF8" s="6" t="s">
        <v>32</v>
      </c>
      <c r="AG8" s="6" t="s">
        <v>26</v>
      </c>
      <c r="AH8" s="57"/>
      <c r="AI8" s="55"/>
      <c r="BF8" s="6" t="s">
        <v>82</v>
      </c>
      <c r="BG8" s="6" t="s">
        <v>31</v>
      </c>
      <c r="BH8" s="6">
        <v>1</v>
      </c>
    </row>
    <row r="9" spans="1:62">
      <c r="A9" s="11" t="s">
        <v>83</v>
      </c>
      <c r="B9" s="6" t="s">
        <v>84</v>
      </c>
      <c r="C9" s="80" t="s">
        <v>25</v>
      </c>
      <c r="D9" s="11" t="s">
        <v>43</v>
      </c>
      <c r="E9" s="28" t="s">
        <v>17</v>
      </c>
      <c r="F9" s="171" t="s">
        <v>32</v>
      </c>
      <c r="G9" s="171" t="s">
        <v>33</v>
      </c>
      <c r="H9" s="11" t="s">
        <v>85</v>
      </c>
      <c r="I9" s="171" t="s">
        <v>55</v>
      </c>
      <c r="J9" s="9" t="s">
        <v>23</v>
      </c>
      <c r="K9" s="9" t="s">
        <v>42</v>
      </c>
      <c r="L9" s="78" t="s">
        <v>20</v>
      </c>
      <c r="M9" s="78" t="s">
        <v>39</v>
      </c>
      <c r="N9" s="13" t="s">
        <v>18</v>
      </c>
      <c r="O9" s="11"/>
      <c r="AA9" s="6" t="s">
        <v>86</v>
      </c>
      <c r="AB9" s="6" t="s">
        <v>30</v>
      </c>
      <c r="AC9" s="6" t="s">
        <v>31</v>
      </c>
      <c r="AD9" s="6" t="s">
        <v>46</v>
      </c>
      <c r="AE9" s="6" t="s">
        <v>73</v>
      </c>
      <c r="AF9" s="6" t="s">
        <v>26</v>
      </c>
      <c r="AG9" s="6" t="s">
        <v>46</v>
      </c>
      <c r="AH9" s="6"/>
      <c r="BF9" s="16" t="s">
        <v>87</v>
      </c>
      <c r="BG9" s="11" t="s">
        <v>26</v>
      </c>
      <c r="BH9" s="6">
        <v>10</v>
      </c>
    </row>
    <row r="10" spans="1:62">
      <c r="A10" s="11" t="s">
        <v>88</v>
      </c>
      <c r="B10" s="6" t="s">
        <v>89</v>
      </c>
      <c r="C10" s="11" t="s">
        <v>27</v>
      </c>
      <c r="D10" s="171" t="s">
        <v>55</v>
      </c>
      <c r="E10" s="9" t="s">
        <v>62</v>
      </c>
      <c r="F10" s="9" t="s">
        <v>23</v>
      </c>
      <c r="G10" s="11" t="s">
        <v>43</v>
      </c>
      <c r="H10" s="28" t="s">
        <v>17</v>
      </c>
      <c r="I10" s="80" t="s">
        <v>25</v>
      </c>
      <c r="J10" s="171" t="s">
        <v>33</v>
      </c>
      <c r="K10" s="78" t="s">
        <v>39</v>
      </c>
      <c r="L10" s="78" t="s">
        <v>20</v>
      </c>
      <c r="M10" s="78" t="s">
        <v>61</v>
      </c>
      <c r="N10" s="11" t="s">
        <v>85</v>
      </c>
      <c r="O10" s="11"/>
      <c r="AA10" s="6" t="s">
        <v>90</v>
      </c>
      <c r="AB10" s="6" t="s">
        <v>30</v>
      </c>
      <c r="AC10" s="6" t="s">
        <v>21</v>
      </c>
      <c r="AD10" s="6" t="s">
        <v>26</v>
      </c>
      <c r="AE10" s="6" t="s">
        <v>67</v>
      </c>
      <c r="AF10" s="6" t="s">
        <v>32</v>
      </c>
      <c r="AG10" s="6" t="s">
        <v>31</v>
      </c>
      <c r="AH10" s="55"/>
      <c r="AI10" s="55"/>
      <c r="BF10" s="6" t="s">
        <v>91</v>
      </c>
      <c r="BG10" s="6" t="s">
        <v>21</v>
      </c>
      <c r="BH10" s="6">
        <v>10</v>
      </c>
    </row>
    <row r="11" spans="1:62">
      <c r="A11" s="11" t="s">
        <v>92</v>
      </c>
      <c r="B11" s="6" t="s">
        <v>93</v>
      </c>
      <c r="C11" s="63" t="s">
        <v>94</v>
      </c>
      <c r="D11" s="9" t="s">
        <v>23</v>
      </c>
      <c r="E11" s="171" t="s">
        <v>45</v>
      </c>
      <c r="F11" s="11" t="s">
        <v>63</v>
      </c>
      <c r="G11" s="28" t="s">
        <v>17</v>
      </c>
      <c r="H11" s="11" t="s">
        <v>22</v>
      </c>
      <c r="I11" s="171" t="s">
        <v>54</v>
      </c>
      <c r="J11" s="78" t="s">
        <v>39</v>
      </c>
      <c r="K11" s="78" t="s">
        <v>20</v>
      </c>
      <c r="L11" s="13" t="s">
        <v>18</v>
      </c>
      <c r="M11" s="171" t="s">
        <v>54</v>
      </c>
      <c r="N11" s="80" t="s">
        <v>25</v>
      </c>
      <c r="O11" s="11"/>
      <c r="AA11" s="6" t="s">
        <v>95</v>
      </c>
      <c r="AB11" s="6" t="s">
        <v>30</v>
      </c>
      <c r="AC11" s="6" t="s">
        <v>46</v>
      </c>
      <c r="AD11" s="6" t="s">
        <v>63</v>
      </c>
      <c r="AE11" s="6" t="s">
        <v>26</v>
      </c>
      <c r="AF11" s="6" t="s">
        <v>32</v>
      </c>
      <c r="AG11" s="6" t="s">
        <v>73</v>
      </c>
      <c r="AH11" s="55"/>
      <c r="BF11" s="6" t="s">
        <v>96</v>
      </c>
      <c r="BG11" s="6" t="s">
        <v>73</v>
      </c>
      <c r="BH11" s="6">
        <v>5</v>
      </c>
    </row>
    <row r="12" spans="1:62">
      <c r="A12" s="11" t="s">
        <v>97</v>
      </c>
      <c r="B12" s="6" t="s">
        <v>98</v>
      </c>
      <c r="C12" s="9" t="s">
        <v>23</v>
      </c>
      <c r="D12" s="63" t="s">
        <v>125</v>
      </c>
      <c r="E12" s="11" t="s">
        <v>22</v>
      </c>
      <c r="F12" s="28" t="s">
        <v>17</v>
      </c>
      <c r="G12" s="11" t="s">
        <v>28</v>
      </c>
      <c r="H12" s="80" t="s">
        <v>25</v>
      </c>
      <c r="I12" s="171" t="s">
        <v>46</v>
      </c>
      <c r="J12" s="171" t="s">
        <v>73</v>
      </c>
      <c r="K12" s="11" t="s">
        <v>52</v>
      </c>
      <c r="L12" s="18" t="s">
        <v>61</v>
      </c>
      <c r="M12" s="13" t="s">
        <v>18</v>
      </c>
      <c r="N12" s="78" t="s">
        <v>20</v>
      </c>
      <c r="O12" s="11"/>
      <c r="P12" s="3"/>
      <c r="AA12" s="6" t="s">
        <v>99</v>
      </c>
      <c r="AB12" s="6" t="s">
        <v>30</v>
      </c>
      <c r="AC12" s="6" t="s">
        <v>67</v>
      </c>
      <c r="AD12" s="6" t="s">
        <v>31</v>
      </c>
      <c r="AE12" s="6" t="s">
        <v>26</v>
      </c>
      <c r="AF12" s="6" t="s">
        <v>33</v>
      </c>
      <c r="AG12" s="6" t="s">
        <v>45</v>
      </c>
      <c r="AH12" s="55"/>
      <c r="BF12" s="6" t="s">
        <v>91</v>
      </c>
      <c r="BG12" s="6" t="s">
        <v>67</v>
      </c>
      <c r="BH12" s="6">
        <v>8</v>
      </c>
    </row>
    <row r="13" spans="1:62">
      <c r="A13" s="11" t="s">
        <v>100</v>
      </c>
      <c r="B13" s="6" t="s">
        <v>101</v>
      </c>
      <c r="C13" s="171" t="s">
        <v>73</v>
      </c>
      <c r="D13" s="80" t="s">
        <v>25</v>
      </c>
      <c r="E13" s="11" t="s">
        <v>102</v>
      </c>
      <c r="F13" s="78" t="s">
        <v>19</v>
      </c>
      <c r="G13" s="78" t="s">
        <v>39</v>
      </c>
      <c r="H13" s="78" t="s">
        <v>61</v>
      </c>
      <c r="I13" s="11" t="s">
        <v>63</v>
      </c>
      <c r="J13" s="28" t="s">
        <v>17</v>
      </c>
      <c r="K13" s="11" t="s">
        <v>22</v>
      </c>
      <c r="L13" s="11" t="s">
        <v>85</v>
      </c>
      <c r="M13" s="9" t="s">
        <v>23</v>
      </c>
      <c r="N13" s="9" t="s">
        <v>42</v>
      </c>
      <c r="O13" s="11"/>
      <c r="P13" s="19"/>
      <c r="AA13" s="6" t="s">
        <v>93</v>
      </c>
      <c r="AB13" s="6" t="s">
        <v>30</v>
      </c>
      <c r="AC13" s="6" t="s">
        <v>45</v>
      </c>
      <c r="AD13" s="6" t="s">
        <v>33</v>
      </c>
      <c r="AE13" s="6" t="s">
        <v>31</v>
      </c>
      <c r="AF13" s="6" t="s">
        <v>54</v>
      </c>
      <c r="AG13" s="6" t="s">
        <v>54</v>
      </c>
      <c r="AH13" s="55"/>
      <c r="BF13" s="55"/>
      <c r="BG13" s="55"/>
      <c r="BH13" s="55"/>
    </row>
    <row r="14" spans="1:62">
      <c r="A14" s="11" t="s">
        <v>103</v>
      </c>
      <c r="B14" s="6" t="s">
        <v>104</v>
      </c>
      <c r="C14" s="9" t="s">
        <v>42</v>
      </c>
      <c r="D14" s="9" t="s">
        <v>23</v>
      </c>
      <c r="E14" s="171" t="s">
        <v>105</v>
      </c>
      <c r="F14" s="11" t="s">
        <v>52</v>
      </c>
      <c r="G14" s="80" t="s">
        <v>25</v>
      </c>
      <c r="H14" s="171" t="s">
        <v>105</v>
      </c>
      <c r="I14" s="78" t="s">
        <v>61</v>
      </c>
      <c r="J14" s="13" t="s">
        <v>39</v>
      </c>
      <c r="K14" s="78" t="s">
        <v>40</v>
      </c>
      <c r="L14" s="171" t="s">
        <v>45</v>
      </c>
      <c r="M14" s="28" t="s">
        <v>17</v>
      </c>
      <c r="N14" s="171" t="s">
        <v>32</v>
      </c>
      <c r="O14" s="11"/>
      <c r="P14" s="3"/>
      <c r="S14" s="20"/>
      <c r="T14" s="20"/>
      <c r="AA14" s="6" t="s">
        <v>72</v>
      </c>
      <c r="AB14" s="6" t="s">
        <v>30</v>
      </c>
      <c r="AC14" s="6" t="s">
        <v>32</v>
      </c>
      <c r="AD14" s="6" t="s">
        <v>46</v>
      </c>
      <c r="AE14" s="6" t="s">
        <v>73</v>
      </c>
      <c r="AF14" s="6" t="s">
        <v>67</v>
      </c>
      <c r="AG14" s="6" t="s">
        <v>33</v>
      </c>
      <c r="AH14" s="6"/>
      <c r="AI14" s="55"/>
      <c r="BF14" s="55"/>
      <c r="BG14" s="55"/>
      <c r="BH14" s="55"/>
    </row>
    <row r="15" spans="1:62">
      <c r="A15" s="11" t="s">
        <v>106</v>
      </c>
      <c r="B15" s="6" t="s">
        <v>107</v>
      </c>
      <c r="C15" s="171" t="s">
        <v>55</v>
      </c>
      <c r="D15" s="171" t="s">
        <v>73</v>
      </c>
      <c r="E15" s="9" t="s">
        <v>62</v>
      </c>
      <c r="F15" s="9" t="s">
        <v>23</v>
      </c>
      <c r="G15" s="80" t="s">
        <v>25</v>
      </c>
      <c r="H15" s="171" t="s">
        <v>45</v>
      </c>
      <c r="I15" s="11" t="s">
        <v>52</v>
      </c>
      <c r="J15" s="78" t="s">
        <v>19</v>
      </c>
      <c r="K15" s="78" t="s">
        <v>61</v>
      </c>
      <c r="L15" s="78" t="s">
        <v>39</v>
      </c>
      <c r="M15" s="11" t="s">
        <v>85</v>
      </c>
      <c r="N15" s="28" t="s">
        <v>17</v>
      </c>
      <c r="O15" s="11"/>
      <c r="P15" s="24"/>
      <c r="R15" s="20"/>
      <c r="S15" s="20"/>
      <c r="T15" s="20"/>
      <c r="U15" s="24"/>
      <c r="V15" s="24"/>
      <c r="W15" s="24"/>
      <c r="X15" s="24"/>
      <c r="Y15" s="23"/>
      <c r="Z15" s="23"/>
      <c r="AA15" s="6" t="s">
        <v>108</v>
      </c>
      <c r="AB15" s="6" t="s">
        <v>30</v>
      </c>
      <c r="AC15" s="6" t="s">
        <v>26</v>
      </c>
      <c r="AD15" s="6" t="s">
        <v>33</v>
      </c>
      <c r="AE15" s="6" t="s">
        <v>73</v>
      </c>
      <c r="AF15" s="6" t="s">
        <v>31</v>
      </c>
      <c r="AG15" s="6" t="s">
        <v>32</v>
      </c>
      <c r="AH15" s="57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04"/>
      <c r="BG15" s="204"/>
      <c r="BH15" s="204"/>
      <c r="BI15" s="23"/>
      <c r="BJ15" s="23"/>
    </row>
    <row r="16" spans="1:62">
      <c r="A16" s="11" t="s">
        <v>109</v>
      </c>
      <c r="B16" s="6" t="s">
        <v>110</v>
      </c>
      <c r="C16" s="78" t="s">
        <v>19</v>
      </c>
      <c r="D16" s="78" t="s">
        <v>61</v>
      </c>
      <c r="E16" s="78" t="s">
        <v>18</v>
      </c>
      <c r="F16" s="11" t="s">
        <v>105</v>
      </c>
      <c r="G16" s="11" t="s">
        <v>22</v>
      </c>
      <c r="H16" s="80" t="s">
        <v>25</v>
      </c>
      <c r="I16" s="11" t="s">
        <v>64</v>
      </c>
      <c r="J16" s="11" t="s">
        <v>105</v>
      </c>
      <c r="K16" s="28" t="s">
        <v>17</v>
      </c>
      <c r="L16" s="11" t="s">
        <v>52</v>
      </c>
      <c r="M16" s="9" t="s">
        <v>42</v>
      </c>
      <c r="N16" s="9" t="s">
        <v>23</v>
      </c>
      <c r="O16" s="11"/>
      <c r="P16" s="3"/>
      <c r="Q16" s="20"/>
      <c r="T16" s="20"/>
      <c r="U16" s="24"/>
      <c r="V16" s="24"/>
      <c r="W16" s="24"/>
      <c r="X16" s="24"/>
      <c r="Y16" s="23"/>
      <c r="Z16" s="23"/>
      <c r="AA16" s="6" t="s">
        <v>111</v>
      </c>
      <c r="AB16" s="6" t="s">
        <v>30</v>
      </c>
      <c r="AC16" s="6" t="s">
        <v>45</v>
      </c>
      <c r="AD16" s="6" t="s">
        <v>32</v>
      </c>
      <c r="AE16" s="6" t="s">
        <v>22</v>
      </c>
      <c r="AF16" s="6" t="s">
        <v>55</v>
      </c>
      <c r="AG16" s="6" t="s">
        <v>105</v>
      </c>
      <c r="AH16" s="204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</row>
    <row r="17" spans="1:62">
      <c r="A17" s="11" t="s">
        <v>112</v>
      </c>
      <c r="B17" s="6" t="s">
        <v>1750</v>
      </c>
      <c r="C17" s="28" t="s">
        <v>17</v>
      </c>
      <c r="D17" s="171" t="s">
        <v>67</v>
      </c>
      <c r="E17" s="11" t="s">
        <v>43</v>
      </c>
      <c r="F17" s="78" t="s">
        <v>19</v>
      </c>
      <c r="G17" s="13" t="s">
        <v>137</v>
      </c>
      <c r="H17" s="78" t="s">
        <v>20</v>
      </c>
      <c r="I17" s="171" t="s">
        <v>26</v>
      </c>
      <c r="J17" s="11" t="s">
        <v>28</v>
      </c>
      <c r="K17" s="9" t="s">
        <v>23</v>
      </c>
      <c r="L17" s="9" t="s">
        <v>24</v>
      </c>
      <c r="M17" s="80" t="s">
        <v>25</v>
      </c>
      <c r="N17" s="171" t="s">
        <v>45</v>
      </c>
      <c r="O17" s="21"/>
      <c r="P17" s="55"/>
      <c r="AA17" s="6" t="s">
        <v>89</v>
      </c>
      <c r="AB17" s="6" t="s">
        <v>30</v>
      </c>
      <c r="AC17" s="6" t="s">
        <v>31</v>
      </c>
      <c r="AD17" s="6" t="s">
        <v>55</v>
      </c>
      <c r="AE17" s="6" t="s">
        <v>26</v>
      </c>
      <c r="AF17" s="6" t="s">
        <v>33</v>
      </c>
      <c r="AG17" s="6" t="s">
        <v>45</v>
      </c>
      <c r="AH17" s="55"/>
      <c r="AI17" s="55"/>
      <c r="BF17" s="55"/>
      <c r="BG17" s="55"/>
      <c r="BH17" s="55"/>
    </row>
    <row r="18" spans="1:62">
      <c r="A18" s="11" t="s">
        <v>113</v>
      </c>
      <c r="B18" s="6" t="s">
        <v>114</v>
      </c>
      <c r="C18" s="9" t="s">
        <v>23</v>
      </c>
      <c r="D18" s="9" t="s">
        <v>24</v>
      </c>
      <c r="E18" s="80" t="s">
        <v>25</v>
      </c>
      <c r="F18" s="11" t="s">
        <v>46</v>
      </c>
      <c r="G18" s="28" t="s">
        <v>17</v>
      </c>
      <c r="H18" s="11" t="s">
        <v>43</v>
      </c>
      <c r="I18" s="78" t="s">
        <v>19</v>
      </c>
      <c r="J18" s="78" t="s">
        <v>40</v>
      </c>
      <c r="K18" s="13" t="s">
        <v>18</v>
      </c>
      <c r="L18" s="171" t="s">
        <v>31</v>
      </c>
      <c r="M18" s="11" t="s">
        <v>102</v>
      </c>
      <c r="N18" s="171" t="s">
        <v>73</v>
      </c>
      <c r="O18" s="6"/>
      <c r="P18" s="55"/>
      <c r="AA18" s="6" t="s">
        <v>16</v>
      </c>
      <c r="AB18" s="6" t="s">
        <v>30</v>
      </c>
      <c r="AC18" s="6" t="s">
        <v>21</v>
      </c>
      <c r="AD18" s="6" t="s">
        <v>45</v>
      </c>
      <c r="AE18" s="6" t="s">
        <v>26</v>
      </c>
      <c r="AF18" s="6" t="s">
        <v>73</v>
      </c>
      <c r="AG18" s="6" t="s">
        <v>33</v>
      </c>
      <c r="AH18" s="6" t="s">
        <v>55</v>
      </c>
      <c r="AI18" s="57" t="s">
        <v>85</v>
      </c>
      <c r="BF18" s="55"/>
      <c r="BG18" s="55"/>
      <c r="BH18" s="55"/>
    </row>
    <row r="19" spans="1:62">
      <c r="A19" s="11" t="s">
        <v>115</v>
      </c>
      <c r="B19" s="6" t="s">
        <v>44</v>
      </c>
      <c r="C19" s="78" t="s">
        <v>39</v>
      </c>
      <c r="D19" s="78" t="s">
        <v>19</v>
      </c>
      <c r="E19" s="78" t="s">
        <v>20</v>
      </c>
      <c r="F19" s="11" t="s">
        <v>116</v>
      </c>
      <c r="G19" s="171" t="s">
        <v>45</v>
      </c>
      <c r="H19" s="9" t="s">
        <v>62</v>
      </c>
      <c r="I19" s="9" t="s">
        <v>23</v>
      </c>
      <c r="J19" s="11" t="s">
        <v>43</v>
      </c>
      <c r="K19" s="171" t="s">
        <v>32</v>
      </c>
      <c r="L19" s="80" t="s">
        <v>25</v>
      </c>
      <c r="M19" s="28" t="s">
        <v>17</v>
      </c>
      <c r="N19" s="171" t="s">
        <v>46</v>
      </c>
      <c r="O19" s="6"/>
      <c r="P19" s="3"/>
      <c r="R19" s="20"/>
      <c r="S19" s="20"/>
      <c r="T19" s="20"/>
      <c r="U19" s="24"/>
      <c r="V19" s="24"/>
      <c r="W19" s="24"/>
      <c r="X19" s="24"/>
      <c r="Y19" s="23"/>
      <c r="Z19" s="23"/>
      <c r="AA19" s="6" t="s">
        <v>107</v>
      </c>
      <c r="AB19" s="6" t="s">
        <v>30</v>
      </c>
      <c r="AC19" s="6" t="s">
        <v>73</v>
      </c>
      <c r="AD19" s="6" t="s">
        <v>55</v>
      </c>
      <c r="AE19" s="6" t="s">
        <v>45</v>
      </c>
      <c r="AF19" s="6" t="s">
        <v>21</v>
      </c>
      <c r="AG19" s="6" t="s">
        <v>67</v>
      </c>
      <c r="AH19" s="204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</row>
    <row r="20" spans="1:62">
      <c r="A20" s="11" t="s">
        <v>117</v>
      </c>
      <c r="B20" s="6" t="s">
        <v>118</v>
      </c>
      <c r="C20" s="11" t="s">
        <v>102</v>
      </c>
      <c r="D20" s="171" t="s">
        <v>46</v>
      </c>
      <c r="E20" s="171" t="s">
        <v>73</v>
      </c>
      <c r="F20" s="9" t="s">
        <v>94</v>
      </c>
      <c r="G20" s="9" t="s">
        <v>23</v>
      </c>
      <c r="H20" s="28" t="s">
        <v>17</v>
      </c>
      <c r="I20" s="18" t="s">
        <v>20</v>
      </c>
      <c r="J20" s="78" t="s">
        <v>61</v>
      </c>
      <c r="K20" s="13" t="s">
        <v>18</v>
      </c>
      <c r="L20" s="11" t="s">
        <v>46</v>
      </c>
      <c r="M20" s="80" t="s">
        <v>25</v>
      </c>
      <c r="N20" s="11" t="s">
        <v>65</v>
      </c>
      <c r="O20" s="11"/>
      <c r="P20" s="204"/>
      <c r="R20" s="20"/>
      <c r="S20" s="20"/>
      <c r="T20" s="20"/>
      <c r="U20" s="24"/>
      <c r="V20" s="24"/>
      <c r="W20" s="24"/>
      <c r="X20" s="24"/>
      <c r="Y20" s="23"/>
      <c r="Z20" s="23"/>
      <c r="AA20" s="6" t="s">
        <v>38</v>
      </c>
      <c r="AB20" s="6" t="s">
        <v>30</v>
      </c>
      <c r="AC20" s="6" t="s">
        <v>26</v>
      </c>
      <c r="AD20" s="6" t="s">
        <v>32</v>
      </c>
      <c r="AE20" s="6" t="s">
        <v>33</v>
      </c>
      <c r="AF20" s="6" t="s">
        <v>31</v>
      </c>
      <c r="AG20" s="6" t="s">
        <v>45</v>
      </c>
      <c r="AH20" s="57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04"/>
      <c r="BG20" s="204"/>
      <c r="BH20" s="204"/>
      <c r="BI20" s="23"/>
      <c r="BJ20" s="23"/>
    </row>
    <row r="21" spans="1:62">
      <c r="A21" s="11" t="s">
        <v>119</v>
      </c>
      <c r="B21" s="6" t="s">
        <v>81</v>
      </c>
      <c r="C21" s="171" t="s">
        <v>55</v>
      </c>
      <c r="D21" s="78" t="s">
        <v>19</v>
      </c>
      <c r="E21" s="78" t="s">
        <v>40</v>
      </c>
      <c r="F21" s="78" t="s">
        <v>19</v>
      </c>
      <c r="G21" s="11" t="s">
        <v>85</v>
      </c>
      <c r="H21" s="80" t="s">
        <v>25</v>
      </c>
      <c r="I21" s="9" t="s">
        <v>24</v>
      </c>
      <c r="J21" s="9" t="s">
        <v>23</v>
      </c>
      <c r="K21" s="171" t="s">
        <v>33</v>
      </c>
      <c r="L21" s="171" t="s">
        <v>32</v>
      </c>
      <c r="M21" s="171" t="s">
        <v>26</v>
      </c>
      <c r="N21" s="28" t="s">
        <v>17</v>
      </c>
      <c r="O21" s="11"/>
      <c r="P21" s="55"/>
      <c r="Q21" s="55"/>
      <c r="V21" s="20"/>
      <c r="AA21" s="6" t="s">
        <v>98</v>
      </c>
      <c r="AB21" s="6" t="s">
        <v>30</v>
      </c>
      <c r="AC21" s="6" t="s">
        <v>31</v>
      </c>
      <c r="AD21" s="6" t="s">
        <v>45</v>
      </c>
      <c r="AE21" s="6" t="s">
        <v>46</v>
      </c>
      <c r="AF21" s="6" t="s">
        <v>73</v>
      </c>
      <c r="AG21" s="6" t="s">
        <v>33</v>
      </c>
      <c r="AH21" s="57"/>
      <c r="BF21" s="55"/>
      <c r="BG21" s="55"/>
      <c r="BH21" s="55"/>
    </row>
    <row r="22" spans="1:62">
      <c r="A22" s="11" t="s">
        <v>120</v>
      </c>
      <c r="B22" s="11" t="s">
        <v>121</v>
      </c>
      <c r="C22" s="11" t="s">
        <v>22</v>
      </c>
      <c r="D22" s="171" t="s">
        <v>32</v>
      </c>
      <c r="E22" s="11" t="s">
        <v>52</v>
      </c>
      <c r="F22" s="28" t="s">
        <v>17</v>
      </c>
      <c r="G22" s="80" t="s">
        <v>25</v>
      </c>
      <c r="H22" s="11" t="s">
        <v>102</v>
      </c>
      <c r="I22" s="78" t="s">
        <v>19</v>
      </c>
      <c r="J22" s="13" t="s">
        <v>18</v>
      </c>
      <c r="K22" s="78" t="s">
        <v>20</v>
      </c>
      <c r="L22" s="9" t="s">
        <v>23</v>
      </c>
      <c r="M22" s="9" t="s">
        <v>24</v>
      </c>
      <c r="N22" s="171" t="s">
        <v>31</v>
      </c>
      <c r="O22" s="11"/>
      <c r="P22" s="3"/>
      <c r="V22" s="20"/>
      <c r="AA22" s="6" t="s">
        <v>122</v>
      </c>
      <c r="AB22" s="6" t="s">
        <v>30</v>
      </c>
      <c r="AC22" s="6" t="s">
        <v>31</v>
      </c>
      <c r="AD22" s="6" t="s">
        <v>26</v>
      </c>
      <c r="AE22" s="6" t="s">
        <v>21</v>
      </c>
      <c r="AF22" s="6" t="s">
        <v>21</v>
      </c>
      <c r="AG22" s="6" t="s">
        <v>33</v>
      </c>
      <c r="AH22" s="57"/>
      <c r="BF22" s="55"/>
      <c r="BG22" s="55"/>
      <c r="BH22" s="55"/>
    </row>
    <row r="23" spans="1:62">
      <c r="A23" s="11" t="s">
        <v>123</v>
      </c>
      <c r="B23" s="6" t="s">
        <v>111</v>
      </c>
      <c r="C23" s="11" t="s">
        <v>105</v>
      </c>
      <c r="D23" s="80" t="s">
        <v>25</v>
      </c>
      <c r="E23" s="11" t="s">
        <v>27</v>
      </c>
      <c r="F23" s="78" t="s">
        <v>40</v>
      </c>
      <c r="G23" s="644" t="s">
        <v>61</v>
      </c>
      <c r="H23" s="78" t="s">
        <v>137</v>
      </c>
      <c r="I23" s="171" t="s">
        <v>32</v>
      </c>
      <c r="J23" s="171" t="s">
        <v>55</v>
      </c>
      <c r="K23" s="11" t="s">
        <v>22</v>
      </c>
      <c r="L23" s="28" t="s">
        <v>17</v>
      </c>
      <c r="M23" s="9" t="s">
        <v>125</v>
      </c>
      <c r="N23" s="9" t="s">
        <v>23</v>
      </c>
      <c r="O23" s="11"/>
      <c r="P23" s="55"/>
      <c r="Z23" s="177"/>
      <c r="AA23" s="6" t="s">
        <v>104</v>
      </c>
      <c r="AB23" s="6" t="s">
        <v>30</v>
      </c>
      <c r="AC23" s="6" t="s">
        <v>105</v>
      </c>
      <c r="AD23" s="6" t="s">
        <v>31</v>
      </c>
      <c r="AE23" s="6" t="s">
        <v>105</v>
      </c>
      <c r="AF23" s="6" t="s">
        <v>45</v>
      </c>
      <c r="AG23" s="6" t="s">
        <v>32</v>
      </c>
      <c r="AH23" s="55"/>
      <c r="BF23" s="55"/>
      <c r="BG23" s="55"/>
      <c r="BH23" s="55"/>
    </row>
    <row r="24" spans="1:62">
      <c r="A24" s="11" t="s">
        <v>123</v>
      </c>
      <c r="B24" s="6" t="s">
        <v>126</v>
      </c>
      <c r="C24" s="59" t="s">
        <v>127</v>
      </c>
      <c r="D24" s="59" t="s">
        <v>127</v>
      </c>
      <c r="E24" s="60" t="s">
        <v>128</v>
      </c>
      <c r="F24" s="62" t="s">
        <v>129</v>
      </c>
      <c r="G24" s="9" t="s">
        <v>23</v>
      </c>
      <c r="H24" s="9" t="s">
        <v>42</v>
      </c>
      <c r="I24" s="28" t="s">
        <v>17</v>
      </c>
      <c r="J24" s="171" t="s">
        <v>26</v>
      </c>
      <c r="K24" s="171" t="s">
        <v>31</v>
      </c>
      <c r="L24" s="11" t="s">
        <v>22</v>
      </c>
      <c r="M24" s="80" t="s">
        <v>25</v>
      </c>
      <c r="N24" s="171" t="s">
        <v>73</v>
      </c>
      <c r="O24" s="11" t="s">
        <v>130</v>
      </c>
      <c r="P24" s="13" t="s">
        <v>131</v>
      </c>
      <c r="Q24" s="13" t="s">
        <v>131</v>
      </c>
      <c r="R24" s="13" t="s">
        <v>131</v>
      </c>
      <c r="S24" s="21" t="s">
        <v>132</v>
      </c>
      <c r="X24" s="1"/>
      <c r="AA24" s="6" t="s">
        <v>133</v>
      </c>
      <c r="AB24" s="6" t="s">
        <v>30</v>
      </c>
      <c r="AC24" s="6" t="s">
        <v>32</v>
      </c>
      <c r="AD24" s="6" t="s">
        <v>45</v>
      </c>
      <c r="AE24" s="6" t="s">
        <v>31</v>
      </c>
      <c r="AF24" s="6" t="s">
        <v>26</v>
      </c>
      <c r="AG24" s="6" t="s">
        <v>73</v>
      </c>
      <c r="AH24" s="57"/>
      <c r="BF24" s="55"/>
      <c r="BG24" s="55"/>
      <c r="BH24" s="55"/>
    </row>
    <row r="25" spans="1:62">
      <c r="A25" s="11" t="s">
        <v>134</v>
      </c>
      <c r="B25" s="6" t="s">
        <v>135</v>
      </c>
      <c r="C25" s="178" t="s">
        <v>41</v>
      </c>
      <c r="D25" s="18" t="s">
        <v>136</v>
      </c>
      <c r="E25" s="78" t="s">
        <v>137</v>
      </c>
      <c r="F25" s="18" t="s">
        <v>138</v>
      </c>
      <c r="G25" s="59" t="s">
        <v>127</v>
      </c>
      <c r="H25" s="59" t="s">
        <v>127</v>
      </c>
      <c r="I25" s="80" t="s">
        <v>25</v>
      </c>
      <c r="J25" s="171" t="s">
        <v>46</v>
      </c>
      <c r="K25" s="9" t="s">
        <v>23</v>
      </c>
      <c r="L25" s="9" t="s">
        <v>62</v>
      </c>
      <c r="M25" s="171" t="s">
        <v>63</v>
      </c>
      <c r="N25" s="28" t="s">
        <v>17</v>
      </c>
      <c r="O25" s="11" t="s">
        <v>139</v>
      </c>
      <c r="P25" s="21" t="s">
        <v>132</v>
      </c>
      <c r="Q25" s="13" t="s">
        <v>131</v>
      </c>
      <c r="R25" s="13" t="s">
        <v>131</v>
      </c>
      <c r="S25" s="13" t="s">
        <v>131</v>
      </c>
      <c r="T25" s="21" t="s">
        <v>132</v>
      </c>
      <c r="U25" s="21" t="s">
        <v>132</v>
      </c>
      <c r="X25" s="1"/>
      <c r="AA25" s="6" t="s">
        <v>140</v>
      </c>
      <c r="AB25" s="6" t="s">
        <v>30</v>
      </c>
      <c r="AC25" s="6" t="s">
        <v>26</v>
      </c>
      <c r="AD25" s="6" t="s">
        <v>31</v>
      </c>
      <c r="AE25" s="6" t="s">
        <v>45</v>
      </c>
      <c r="AF25" s="6" t="s">
        <v>73</v>
      </c>
      <c r="AG25" s="6" t="s">
        <v>67</v>
      </c>
      <c r="AH25" s="55"/>
      <c r="BF25" s="55"/>
      <c r="BG25" s="55"/>
      <c r="BH25" s="55"/>
    </row>
    <row r="26" spans="1:62">
      <c r="A26" s="11" t="s">
        <v>141</v>
      </c>
      <c r="B26" s="6" t="s">
        <v>142</v>
      </c>
      <c r="C26" s="18" t="s">
        <v>20</v>
      </c>
      <c r="D26" s="60" t="s">
        <v>128</v>
      </c>
      <c r="E26" s="171" t="s">
        <v>26</v>
      </c>
      <c r="F26" s="9" t="s">
        <v>143</v>
      </c>
      <c r="G26" s="9" t="s">
        <v>23</v>
      </c>
      <c r="H26" s="28" t="s">
        <v>17</v>
      </c>
      <c r="I26" s="11" t="s">
        <v>28</v>
      </c>
      <c r="J26" s="78" t="s">
        <v>39</v>
      </c>
      <c r="K26" s="18" t="s">
        <v>61</v>
      </c>
      <c r="L26" s="78" t="s">
        <v>39</v>
      </c>
      <c r="M26" s="171" t="s">
        <v>73</v>
      </c>
      <c r="N26" s="80" t="s">
        <v>25</v>
      </c>
      <c r="O26" s="11"/>
      <c r="P26" s="21" t="s">
        <v>132</v>
      </c>
      <c r="Q26" s="21" t="s">
        <v>132</v>
      </c>
      <c r="X26" s="1"/>
      <c r="AA26" s="6" t="s">
        <v>144</v>
      </c>
      <c r="AB26" s="6" t="s">
        <v>30</v>
      </c>
      <c r="AC26" s="6" t="s">
        <v>26</v>
      </c>
      <c r="AD26" s="6" t="s">
        <v>32</v>
      </c>
      <c r="AE26" s="6" t="s">
        <v>73</v>
      </c>
      <c r="AF26" s="6" t="s">
        <v>55</v>
      </c>
      <c r="AG26" s="6" t="s">
        <v>55</v>
      </c>
      <c r="AH26" s="57"/>
    </row>
    <row r="27" spans="1:62">
      <c r="A27" s="11" t="s">
        <v>145</v>
      </c>
      <c r="B27" s="6" t="s">
        <v>146</v>
      </c>
      <c r="C27" s="59" t="s">
        <v>127</v>
      </c>
      <c r="D27" s="59" t="s">
        <v>147</v>
      </c>
      <c r="E27" s="21" t="s">
        <v>85</v>
      </c>
      <c r="F27" s="9" t="s">
        <v>24</v>
      </c>
      <c r="G27" s="9" t="s">
        <v>42</v>
      </c>
      <c r="H27" s="78" t="s">
        <v>137</v>
      </c>
      <c r="I27" s="18" t="s">
        <v>40</v>
      </c>
      <c r="J27" s="18" t="s">
        <v>20</v>
      </c>
      <c r="K27" s="171" t="s">
        <v>26</v>
      </c>
      <c r="L27" s="80" t="s">
        <v>25</v>
      </c>
      <c r="M27" s="9" t="s">
        <v>23</v>
      </c>
      <c r="N27" s="9" t="s">
        <v>62</v>
      </c>
      <c r="O27" s="11" t="s">
        <v>130</v>
      </c>
      <c r="P27" s="28" t="s">
        <v>17</v>
      </c>
      <c r="Q27" s="21" t="s">
        <v>132</v>
      </c>
      <c r="R27" s="21" t="s">
        <v>132</v>
      </c>
      <c r="S27" s="13" t="s">
        <v>131</v>
      </c>
      <c r="T27" s="13" t="s">
        <v>131</v>
      </c>
      <c r="U27" s="13" t="s">
        <v>131</v>
      </c>
      <c r="V27" s="21" t="s">
        <v>132</v>
      </c>
      <c r="W27" s="21" t="s">
        <v>132</v>
      </c>
      <c r="AA27" s="6" t="s">
        <v>148</v>
      </c>
      <c r="AB27" s="6" t="s">
        <v>30</v>
      </c>
      <c r="AC27" s="6" t="s">
        <v>26</v>
      </c>
      <c r="AD27" s="6" t="s">
        <v>67</v>
      </c>
      <c r="AE27" s="6" t="s">
        <v>73</v>
      </c>
      <c r="AF27" s="6" t="s">
        <v>67</v>
      </c>
      <c r="AG27" s="6" t="s">
        <v>45</v>
      </c>
      <c r="AH27" s="55"/>
    </row>
    <row r="28" spans="1:62">
      <c r="A28" s="11" t="s">
        <v>149</v>
      </c>
      <c r="B28" s="6" t="s">
        <v>150</v>
      </c>
      <c r="C28" s="78" t="s">
        <v>137</v>
      </c>
      <c r="D28" s="18" t="s">
        <v>136</v>
      </c>
      <c r="E28" s="78" t="s">
        <v>19</v>
      </c>
      <c r="F28" s="171" t="s">
        <v>22</v>
      </c>
      <c r="G28" s="171" t="s">
        <v>26</v>
      </c>
      <c r="H28" s="171" t="s">
        <v>67</v>
      </c>
      <c r="I28" s="9" t="s">
        <v>143</v>
      </c>
      <c r="J28" s="9" t="s">
        <v>23</v>
      </c>
      <c r="K28" s="28" t="s">
        <v>17</v>
      </c>
      <c r="L28" s="171" t="s">
        <v>73</v>
      </c>
      <c r="M28" s="80" t="s">
        <v>25</v>
      </c>
      <c r="N28" s="171" t="s">
        <v>67</v>
      </c>
      <c r="O28" s="11"/>
      <c r="P28" s="13" t="s">
        <v>131</v>
      </c>
      <c r="Q28" s="13" t="s">
        <v>131</v>
      </c>
      <c r="R28" s="13" t="s">
        <v>131</v>
      </c>
      <c r="S28" s="3" t="s">
        <v>132</v>
      </c>
      <c r="X28" s="1"/>
      <c r="AA28" s="6" t="s">
        <v>101</v>
      </c>
      <c r="AB28" s="6" t="s">
        <v>30</v>
      </c>
      <c r="AC28" s="6" t="s">
        <v>73</v>
      </c>
      <c r="AD28" s="6" t="s">
        <v>31</v>
      </c>
      <c r="AE28" s="6" t="s">
        <v>32</v>
      </c>
      <c r="AF28" s="6" t="s">
        <v>46</v>
      </c>
      <c r="AG28" s="6" t="s">
        <v>73</v>
      </c>
      <c r="AH28" s="55"/>
    </row>
    <row r="29" spans="1:62">
      <c r="A29" s="9" t="s">
        <v>151</v>
      </c>
      <c r="B29" s="63" t="s">
        <v>152</v>
      </c>
      <c r="C29" s="9" t="s">
        <v>125</v>
      </c>
      <c r="D29" s="9" t="s">
        <v>94</v>
      </c>
      <c r="E29" s="9" t="s">
        <v>23</v>
      </c>
      <c r="F29" s="179" t="s">
        <v>147</v>
      </c>
      <c r="G29" s="171" t="s">
        <v>153</v>
      </c>
      <c r="H29" s="9" t="s">
        <v>24</v>
      </c>
      <c r="I29" s="9" t="s">
        <v>23</v>
      </c>
      <c r="J29" s="9" t="s">
        <v>62</v>
      </c>
      <c r="K29" s="9" t="s">
        <v>143</v>
      </c>
      <c r="L29" s="80" t="s">
        <v>25</v>
      </c>
      <c r="M29" s="171" t="s">
        <v>32</v>
      </c>
      <c r="N29" s="28" t="s">
        <v>17</v>
      </c>
      <c r="O29" s="21" t="s">
        <v>154</v>
      </c>
      <c r="P29" s="3"/>
      <c r="X29" s="1"/>
      <c r="AA29" s="55" t="s">
        <v>121</v>
      </c>
      <c r="AB29" s="6" t="s">
        <v>30</v>
      </c>
      <c r="AC29" s="6" t="s">
        <v>26</v>
      </c>
      <c r="AD29" s="6" t="s">
        <v>32</v>
      </c>
      <c r="AE29" s="6" t="s">
        <v>67</v>
      </c>
      <c r="AF29" s="6" t="s">
        <v>45</v>
      </c>
      <c r="AG29" s="6" t="s">
        <v>31</v>
      </c>
      <c r="AH29" s="6" t="s">
        <v>63</v>
      </c>
      <c r="BF29" s="55"/>
      <c r="BG29" s="55"/>
      <c r="BH29" s="55"/>
    </row>
    <row r="30" spans="1:62">
      <c r="A30" s="9" t="s">
        <v>155</v>
      </c>
      <c r="B30" s="63" t="s">
        <v>156</v>
      </c>
      <c r="C30" s="80" t="s">
        <v>25</v>
      </c>
      <c r="D30" s="28" t="s">
        <v>17</v>
      </c>
      <c r="E30" s="9" t="s">
        <v>42</v>
      </c>
      <c r="F30" s="9" t="s">
        <v>23</v>
      </c>
      <c r="G30" s="9" t="s">
        <v>125</v>
      </c>
      <c r="H30" s="179" t="s">
        <v>147</v>
      </c>
      <c r="I30" s="171" t="s">
        <v>26</v>
      </c>
      <c r="J30" s="171" t="s">
        <v>32</v>
      </c>
      <c r="K30" s="9" t="s">
        <v>62</v>
      </c>
      <c r="L30" s="9" t="s">
        <v>23</v>
      </c>
      <c r="M30" s="9" t="s">
        <v>143</v>
      </c>
      <c r="N30" s="9" t="s">
        <v>24</v>
      </c>
      <c r="O30" s="21" t="s">
        <v>157</v>
      </c>
      <c r="P30" s="3"/>
      <c r="X30" s="1"/>
      <c r="AA30" s="16" t="s">
        <v>158</v>
      </c>
      <c r="AB30" s="6" t="s">
        <v>159</v>
      </c>
      <c r="AC30" s="6" t="s">
        <v>55</v>
      </c>
      <c r="AD30" s="6" t="s">
        <v>45</v>
      </c>
      <c r="AE30" s="29"/>
      <c r="AF30" s="29"/>
      <c r="AG30" s="29"/>
      <c r="AH30" s="29"/>
    </row>
    <row r="31" spans="1:62">
      <c r="A31" s="9" t="s">
        <v>160</v>
      </c>
      <c r="B31" s="63" t="s">
        <v>161</v>
      </c>
      <c r="C31" s="78" t="s">
        <v>40</v>
      </c>
      <c r="D31" s="9" t="s">
        <v>143</v>
      </c>
      <c r="E31" s="63" t="s">
        <v>42</v>
      </c>
      <c r="F31" s="62" t="s">
        <v>25</v>
      </c>
      <c r="G31" s="9" t="s">
        <v>42</v>
      </c>
      <c r="H31" s="9" t="s">
        <v>23</v>
      </c>
      <c r="I31" s="9" t="s">
        <v>94</v>
      </c>
      <c r="J31" s="9" t="s">
        <v>125</v>
      </c>
      <c r="K31" s="179" t="s">
        <v>147</v>
      </c>
      <c r="L31" s="28" t="s">
        <v>17</v>
      </c>
      <c r="M31" s="80" t="s">
        <v>25</v>
      </c>
      <c r="N31" s="9" t="s">
        <v>23</v>
      </c>
      <c r="O31" s="21" t="s">
        <v>162</v>
      </c>
      <c r="P31" s="9" t="s">
        <v>23</v>
      </c>
      <c r="Q31" s="9" t="s">
        <v>143</v>
      </c>
      <c r="R31" s="9" t="s">
        <v>62</v>
      </c>
      <c r="S31" s="21" t="s">
        <v>132</v>
      </c>
      <c r="X31" s="1"/>
      <c r="AA31" s="16" t="s">
        <v>163</v>
      </c>
      <c r="AB31" s="6" t="s">
        <v>159</v>
      </c>
      <c r="AC31" s="6" t="s">
        <v>32</v>
      </c>
      <c r="AD31" s="6" t="s">
        <v>33</v>
      </c>
      <c r="AE31" s="29"/>
      <c r="AF31" s="29"/>
      <c r="AG31" s="29"/>
      <c r="AH31" s="29"/>
    </row>
    <row r="32" spans="1:62" ht="37.5">
      <c r="A32" s="13" t="s">
        <v>164</v>
      </c>
      <c r="B32" s="180" t="s">
        <v>165</v>
      </c>
      <c r="C32" s="78" t="s">
        <v>61</v>
      </c>
      <c r="D32" s="78" t="s">
        <v>18</v>
      </c>
      <c r="E32" s="78" t="s">
        <v>39</v>
      </c>
      <c r="F32" s="179" t="s">
        <v>147</v>
      </c>
      <c r="G32" s="171" t="s">
        <v>32</v>
      </c>
      <c r="H32" s="80" t="s">
        <v>25</v>
      </c>
      <c r="I32" s="28" t="s">
        <v>17</v>
      </c>
      <c r="J32" s="11" t="s">
        <v>85</v>
      </c>
      <c r="K32" s="13" t="s">
        <v>138</v>
      </c>
      <c r="L32" s="18" t="s">
        <v>20</v>
      </c>
      <c r="M32" s="78" t="s">
        <v>166</v>
      </c>
      <c r="N32" s="78" t="s">
        <v>40</v>
      </c>
      <c r="O32" s="21" t="s">
        <v>139</v>
      </c>
      <c r="P32" s="3"/>
      <c r="X32" s="1"/>
      <c r="AA32" s="16" t="s">
        <v>167</v>
      </c>
      <c r="AB32" s="6" t="s">
        <v>159</v>
      </c>
      <c r="AC32" s="6" t="s">
        <v>26</v>
      </c>
      <c r="AD32" s="6" t="s">
        <v>32</v>
      </c>
      <c r="AE32" s="29"/>
      <c r="AF32" s="29"/>
      <c r="AG32" s="29"/>
      <c r="AH32" s="29"/>
    </row>
    <row r="33" spans="1:62" ht="37.5">
      <c r="A33" s="13" t="s">
        <v>168</v>
      </c>
      <c r="B33" s="180" t="s">
        <v>169</v>
      </c>
      <c r="C33" s="11" t="s">
        <v>43</v>
      </c>
      <c r="D33" s="179" t="s">
        <v>147</v>
      </c>
      <c r="E33" s="11" t="s">
        <v>65</v>
      </c>
      <c r="F33" s="28" t="s">
        <v>17</v>
      </c>
      <c r="G33" s="78" t="s">
        <v>61</v>
      </c>
      <c r="H33" s="18" t="s">
        <v>136</v>
      </c>
      <c r="I33" s="13" t="s">
        <v>18</v>
      </c>
      <c r="J33" s="80" t="s">
        <v>25</v>
      </c>
      <c r="K33" s="78" t="s">
        <v>40</v>
      </c>
      <c r="L33" s="78" t="s">
        <v>166</v>
      </c>
      <c r="M33" s="78" t="s">
        <v>20</v>
      </c>
      <c r="N33" s="13" t="s">
        <v>19</v>
      </c>
      <c r="O33" s="21" t="s">
        <v>162</v>
      </c>
      <c r="P33" s="3"/>
      <c r="X33" s="1"/>
      <c r="AA33" s="16" t="s">
        <v>170</v>
      </c>
      <c r="AB33" s="6" t="s">
        <v>159</v>
      </c>
      <c r="AC33" s="6" t="s">
        <v>26</v>
      </c>
      <c r="AD33" s="6" t="s">
        <v>31</v>
      </c>
      <c r="AE33" s="29"/>
      <c r="AF33" s="29"/>
      <c r="AG33" s="29"/>
      <c r="AH33" s="29"/>
      <c r="BF33" s="55"/>
      <c r="BG33" s="55"/>
      <c r="BH33" s="55"/>
    </row>
    <row r="34" spans="1:62" ht="37.5">
      <c r="A34" s="13" t="s">
        <v>171</v>
      </c>
      <c r="B34" s="180" t="s">
        <v>172</v>
      </c>
      <c r="C34" s="18" t="s">
        <v>136</v>
      </c>
      <c r="D34" s="78" t="s">
        <v>61</v>
      </c>
      <c r="E34" s="18" t="s">
        <v>20</v>
      </c>
      <c r="F34" s="13" t="s">
        <v>18</v>
      </c>
      <c r="G34" s="179" t="s">
        <v>147</v>
      </c>
      <c r="H34" s="171" t="s">
        <v>26</v>
      </c>
      <c r="I34" s="80" t="s">
        <v>25</v>
      </c>
      <c r="J34" s="28" t="s">
        <v>17</v>
      </c>
      <c r="K34" s="11" t="s">
        <v>85</v>
      </c>
      <c r="L34" s="78" t="s">
        <v>166</v>
      </c>
      <c r="M34" s="13" t="s">
        <v>138</v>
      </c>
      <c r="N34" s="78" t="s">
        <v>40</v>
      </c>
      <c r="O34" s="21" t="s">
        <v>154</v>
      </c>
      <c r="P34" s="20"/>
      <c r="Q34" s="204"/>
      <c r="T34" s="24"/>
      <c r="U34" s="24"/>
      <c r="V34" s="24"/>
      <c r="W34" s="24"/>
      <c r="X34" s="23"/>
      <c r="Y34" s="23"/>
      <c r="Z34" s="23"/>
      <c r="AA34" s="16" t="s">
        <v>173</v>
      </c>
      <c r="AB34" s="6" t="s">
        <v>159</v>
      </c>
      <c r="AC34" s="6" t="s">
        <v>32</v>
      </c>
      <c r="AD34" s="6" t="s">
        <v>33</v>
      </c>
      <c r="AE34" s="29"/>
      <c r="AF34" s="29"/>
      <c r="AG34" s="29"/>
      <c r="AH34" s="29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</row>
    <row r="35" spans="1:62" ht="37.5">
      <c r="A35" s="13" t="s">
        <v>174</v>
      </c>
      <c r="B35" s="180" t="s">
        <v>175</v>
      </c>
      <c r="C35" s="171" t="s">
        <v>32</v>
      </c>
      <c r="D35" s="80" t="s">
        <v>25</v>
      </c>
      <c r="E35" s="179" t="s">
        <v>147</v>
      </c>
      <c r="F35" s="78" t="s">
        <v>61</v>
      </c>
      <c r="G35" s="18" t="s">
        <v>136</v>
      </c>
      <c r="H35" s="78" t="s">
        <v>166</v>
      </c>
      <c r="I35" s="78" t="s">
        <v>20</v>
      </c>
      <c r="J35" s="21" t="s">
        <v>75</v>
      </c>
      <c r="K35" s="28" t="s">
        <v>17</v>
      </c>
      <c r="L35" s="13" t="s">
        <v>18</v>
      </c>
      <c r="M35" s="78" t="s">
        <v>40</v>
      </c>
      <c r="N35" s="13" t="s">
        <v>138</v>
      </c>
      <c r="O35" s="21" t="s">
        <v>176</v>
      </c>
      <c r="P35" s="20"/>
      <c r="S35" s="20"/>
      <c r="T35" s="20"/>
      <c r="U35" s="20"/>
      <c r="V35" s="20"/>
      <c r="X35" s="1"/>
      <c r="AA35" s="16" t="s">
        <v>177</v>
      </c>
      <c r="AB35" s="6" t="s">
        <v>159</v>
      </c>
      <c r="AC35" s="6" t="s">
        <v>178</v>
      </c>
      <c r="AD35" s="6" t="s">
        <v>45</v>
      </c>
      <c r="AE35" s="29"/>
      <c r="AF35" s="29"/>
      <c r="AG35" s="29"/>
      <c r="AH35" s="29"/>
      <c r="BF35" s="55"/>
      <c r="BG35" s="55"/>
      <c r="BH35" s="55"/>
    </row>
    <row r="36" spans="1:62" ht="37.5">
      <c r="A36" s="13" t="s">
        <v>179</v>
      </c>
      <c r="B36" s="180" t="s">
        <v>180</v>
      </c>
      <c r="C36" s="18" t="s">
        <v>20</v>
      </c>
      <c r="D36" s="61" t="s">
        <v>181</v>
      </c>
      <c r="E36" s="78" t="s">
        <v>61</v>
      </c>
      <c r="F36" s="78" t="s">
        <v>137</v>
      </c>
      <c r="G36" s="13" t="s">
        <v>18</v>
      </c>
      <c r="H36" s="179" t="s">
        <v>147</v>
      </c>
      <c r="I36" s="28" t="s">
        <v>17</v>
      </c>
      <c r="J36" s="171" t="s">
        <v>73</v>
      </c>
      <c r="K36" s="80" t="s">
        <v>25</v>
      </c>
      <c r="L36" s="171" t="s">
        <v>33</v>
      </c>
      <c r="M36" s="13" t="s">
        <v>138</v>
      </c>
      <c r="N36" s="78" t="s">
        <v>166</v>
      </c>
      <c r="O36" s="21" t="s">
        <v>154</v>
      </c>
      <c r="P36" s="78" t="s">
        <v>20</v>
      </c>
      <c r="Q36" s="18" t="s">
        <v>136</v>
      </c>
      <c r="X36" s="1"/>
      <c r="AA36" s="16" t="s">
        <v>182</v>
      </c>
      <c r="AB36" s="6" t="s">
        <v>159</v>
      </c>
      <c r="AC36" s="6" t="s">
        <v>73</v>
      </c>
      <c r="AD36" s="6" t="s">
        <v>33</v>
      </c>
      <c r="AE36" s="29"/>
      <c r="AF36" s="29"/>
      <c r="AG36" s="29"/>
      <c r="AH36" s="29"/>
      <c r="BF36" s="55"/>
      <c r="BG36" s="55"/>
      <c r="BH36" s="55"/>
    </row>
    <row r="37" spans="1:62">
      <c r="A37" s="13" t="s">
        <v>183</v>
      </c>
      <c r="B37" s="180" t="s">
        <v>184</v>
      </c>
      <c r="C37" s="18" t="s">
        <v>124</v>
      </c>
      <c r="D37" s="60" t="s">
        <v>128</v>
      </c>
      <c r="E37" s="62" t="s">
        <v>25</v>
      </c>
      <c r="F37" s="171" t="s">
        <v>45</v>
      </c>
      <c r="G37" s="78" t="s">
        <v>40</v>
      </c>
      <c r="H37" s="13" t="s">
        <v>18</v>
      </c>
      <c r="I37" s="18" t="s">
        <v>136</v>
      </c>
      <c r="J37" s="179" t="s">
        <v>147</v>
      </c>
      <c r="K37" s="21" t="s">
        <v>75</v>
      </c>
      <c r="L37" s="13" t="s">
        <v>138</v>
      </c>
      <c r="M37" s="13" t="s">
        <v>185</v>
      </c>
      <c r="N37" s="78" t="s">
        <v>20</v>
      </c>
      <c r="O37" s="21" t="s">
        <v>186</v>
      </c>
      <c r="P37" s="78" t="s">
        <v>166</v>
      </c>
      <c r="Q37" s="80" t="s">
        <v>187</v>
      </c>
      <c r="R37" s="21" t="s">
        <v>132</v>
      </c>
      <c r="S37" s="28" t="s">
        <v>17</v>
      </c>
      <c r="X37" s="1"/>
      <c r="AA37" s="31" t="s">
        <v>188</v>
      </c>
      <c r="AB37" s="6" t="s">
        <v>189</v>
      </c>
      <c r="AC37" s="6" t="s">
        <v>153</v>
      </c>
      <c r="AD37" s="6" t="s">
        <v>32</v>
      </c>
      <c r="AE37" s="29"/>
      <c r="AF37" s="29"/>
      <c r="AG37" s="29"/>
      <c r="AH37" s="29"/>
      <c r="BF37" s="55"/>
      <c r="BG37" s="55"/>
      <c r="BH37" s="55"/>
    </row>
    <row r="38" spans="1:62" ht="37.5">
      <c r="A38" s="13" t="s">
        <v>190</v>
      </c>
      <c r="B38" s="180" t="s">
        <v>191</v>
      </c>
      <c r="C38" s="9" t="s">
        <v>23</v>
      </c>
      <c r="D38" s="9" t="s">
        <v>42</v>
      </c>
      <c r="E38" s="60" t="s">
        <v>128</v>
      </c>
      <c r="F38" s="171" t="s">
        <v>22</v>
      </c>
      <c r="G38" s="78" t="s">
        <v>40</v>
      </c>
      <c r="H38" s="78" t="s">
        <v>61</v>
      </c>
      <c r="I38" s="78" t="s">
        <v>166</v>
      </c>
      <c r="J38" s="80" t="s">
        <v>25</v>
      </c>
      <c r="K38" s="179" t="s">
        <v>147</v>
      </c>
      <c r="L38" s="13" t="s">
        <v>138</v>
      </c>
      <c r="M38" s="13" t="s">
        <v>18</v>
      </c>
      <c r="N38" s="18" t="s">
        <v>136</v>
      </c>
      <c r="O38" s="21" t="s">
        <v>186</v>
      </c>
      <c r="P38" s="78" t="s">
        <v>20</v>
      </c>
      <c r="Q38" s="28" t="s">
        <v>17</v>
      </c>
      <c r="R38" s="21" t="s">
        <v>132</v>
      </c>
      <c r="S38" s="21" t="s">
        <v>132</v>
      </c>
      <c r="X38" s="1"/>
      <c r="AA38" s="31" t="s">
        <v>192</v>
      </c>
      <c r="AB38" s="6" t="s">
        <v>189</v>
      </c>
      <c r="AC38" s="6" t="s">
        <v>67</v>
      </c>
      <c r="AD38" s="6" t="s">
        <v>26</v>
      </c>
      <c r="AE38" s="29"/>
      <c r="AF38" s="29"/>
      <c r="AG38" s="29"/>
      <c r="AH38" s="29"/>
      <c r="BF38" s="55"/>
      <c r="BG38" s="55"/>
      <c r="BH38" s="55"/>
    </row>
    <row r="39" spans="1:62">
      <c r="A39" s="181" t="s">
        <v>345</v>
      </c>
      <c r="B39" s="181" t="s">
        <v>199</v>
      </c>
      <c r="C39" s="80" t="s">
        <v>25</v>
      </c>
      <c r="D39" s="182" t="s">
        <v>200</v>
      </c>
      <c r="E39" s="182" t="s">
        <v>200</v>
      </c>
      <c r="F39" s="182" t="s">
        <v>181</v>
      </c>
      <c r="G39" s="179" t="s">
        <v>147</v>
      </c>
      <c r="H39" s="57" t="s">
        <v>201</v>
      </c>
      <c r="I39" s="11" t="s">
        <v>52</v>
      </c>
      <c r="J39" s="28" t="s">
        <v>17</v>
      </c>
      <c r="K39" s="182" t="s">
        <v>200</v>
      </c>
      <c r="L39" s="182" t="s">
        <v>200</v>
      </c>
      <c r="M39" s="182" t="s">
        <v>181</v>
      </c>
      <c r="N39" s="182" t="s">
        <v>181</v>
      </c>
      <c r="O39" s="21" t="s">
        <v>154</v>
      </c>
      <c r="AA39" s="15"/>
      <c r="AB39" s="6"/>
      <c r="AC39" s="6"/>
      <c r="AD39" s="6"/>
      <c r="AE39" s="29"/>
      <c r="AF39" s="29"/>
      <c r="AG39" s="29"/>
      <c r="AH39" s="29"/>
    </row>
    <row r="40" spans="1:62">
      <c r="A40" s="183" t="s">
        <v>193</v>
      </c>
      <c r="B40" s="15" t="s">
        <v>194</v>
      </c>
      <c r="C40" s="183" t="s">
        <v>128</v>
      </c>
      <c r="D40" s="183" t="s">
        <v>128</v>
      </c>
      <c r="E40" s="183" t="s">
        <v>128</v>
      </c>
      <c r="F40" s="11" t="s">
        <v>43</v>
      </c>
      <c r="G40" s="28" t="s">
        <v>17</v>
      </c>
      <c r="H40" s="179" t="s">
        <v>147</v>
      </c>
      <c r="I40" s="183" t="s">
        <v>128</v>
      </c>
      <c r="J40" s="183" t="s">
        <v>128</v>
      </c>
      <c r="K40" s="183" t="s">
        <v>128</v>
      </c>
      <c r="L40" s="183" t="s">
        <v>128</v>
      </c>
      <c r="M40" s="171" t="s">
        <v>26</v>
      </c>
      <c r="N40" s="80" t="s">
        <v>25</v>
      </c>
      <c r="O40" s="6" t="s">
        <v>176</v>
      </c>
      <c r="AA40" s="31" t="s">
        <v>195</v>
      </c>
      <c r="AB40" s="6" t="s">
        <v>189</v>
      </c>
      <c r="AC40" s="6" t="s">
        <v>26</v>
      </c>
      <c r="AD40" s="6" t="s">
        <v>32</v>
      </c>
      <c r="AE40" s="29"/>
      <c r="AF40" s="29"/>
      <c r="AG40" s="29"/>
      <c r="AH40" s="29"/>
      <c r="BF40" s="55"/>
      <c r="BG40" s="55"/>
      <c r="BH40" s="55"/>
    </row>
    <row r="41" spans="1:62">
      <c r="A41" s="183" t="s">
        <v>196</v>
      </c>
      <c r="B41" s="15" t="s">
        <v>197</v>
      </c>
      <c r="C41" s="171" t="s">
        <v>31</v>
      </c>
      <c r="D41" s="28" t="s">
        <v>17</v>
      </c>
      <c r="E41" s="183" t="s">
        <v>128</v>
      </c>
      <c r="F41" s="183" t="s">
        <v>128</v>
      </c>
      <c r="G41" s="183" t="s">
        <v>128</v>
      </c>
      <c r="H41" s="183" t="s">
        <v>128</v>
      </c>
      <c r="I41" s="171" t="s">
        <v>45</v>
      </c>
      <c r="J41" s="80" t="s">
        <v>25</v>
      </c>
      <c r="K41" s="179" t="s">
        <v>147</v>
      </c>
      <c r="L41" s="183" t="s">
        <v>128</v>
      </c>
      <c r="M41" s="183" t="s">
        <v>128</v>
      </c>
      <c r="N41" s="183" t="s">
        <v>128</v>
      </c>
      <c r="O41" s="21" t="s">
        <v>162</v>
      </c>
      <c r="AA41" s="15" t="s">
        <v>197</v>
      </c>
      <c r="AB41" s="6" t="s">
        <v>198</v>
      </c>
      <c r="AC41" s="6" t="s">
        <v>31</v>
      </c>
      <c r="AD41" s="6" t="s">
        <v>45</v>
      </c>
      <c r="AE41" s="29"/>
      <c r="AF41" s="29"/>
      <c r="AG41" s="29"/>
      <c r="AH41" s="29"/>
      <c r="BF41" s="55"/>
      <c r="BG41" s="55"/>
      <c r="BH41" s="55"/>
    </row>
    <row r="42" spans="1:62">
      <c r="A42" s="6" t="s">
        <v>202</v>
      </c>
      <c r="B42" s="6" t="s">
        <v>203</v>
      </c>
      <c r="C42" s="80" t="s">
        <v>25</v>
      </c>
      <c r="D42" s="57" t="s">
        <v>27</v>
      </c>
      <c r="E42" s="57" t="s">
        <v>64</v>
      </c>
      <c r="F42" s="184"/>
      <c r="G42" s="184"/>
      <c r="H42" s="184"/>
      <c r="I42" s="184"/>
      <c r="J42" s="184"/>
      <c r="K42" s="184"/>
      <c r="L42" s="184"/>
      <c r="M42" s="184"/>
      <c r="N42" s="184"/>
      <c r="O42" s="21"/>
      <c r="AA42" s="15" t="s">
        <v>194</v>
      </c>
      <c r="AB42" s="6" t="s">
        <v>198</v>
      </c>
      <c r="AC42" s="6" t="s">
        <v>45</v>
      </c>
      <c r="AD42" s="6" t="s">
        <v>26</v>
      </c>
      <c r="AE42" s="29"/>
      <c r="AF42" s="29"/>
      <c r="AG42" s="29"/>
      <c r="AH42" s="29"/>
    </row>
    <row r="43" spans="1:62">
      <c r="A43" s="6" t="s">
        <v>204</v>
      </c>
      <c r="B43" s="6" t="s">
        <v>205</v>
      </c>
      <c r="C43" s="28" t="s">
        <v>17</v>
      </c>
      <c r="D43" s="171" t="s">
        <v>22</v>
      </c>
      <c r="E43" s="9" t="s">
        <v>23</v>
      </c>
      <c r="F43" s="9" t="s">
        <v>94</v>
      </c>
      <c r="G43" s="184"/>
      <c r="H43" s="184"/>
      <c r="I43" s="184"/>
      <c r="J43" s="184"/>
      <c r="K43" s="184"/>
      <c r="L43" s="184"/>
      <c r="M43" s="184"/>
      <c r="N43" s="184"/>
      <c r="O43" s="6"/>
      <c r="P43" s="23"/>
      <c r="AA43" s="57" t="s">
        <v>206</v>
      </c>
      <c r="AB43" s="6" t="s">
        <v>30</v>
      </c>
      <c r="AC43" s="6" t="s">
        <v>31</v>
      </c>
      <c r="AD43" s="6" t="s">
        <v>73</v>
      </c>
      <c r="AE43" s="6" t="s">
        <v>33</v>
      </c>
      <c r="AF43" s="6" t="s">
        <v>46</v>
      </c>
      <c r="AG43" s="57"/>
      <c r="AH43" s="57"/>
    </row>
    <row r="44" spans="1:62">
      <c r="A44" s="6" t="s">
        <v>207</v>
      </c>
      <c r="B44" s="6" t="s">
        <v>208</v>
      </c>
      <c r="C44" s="9" t="s">
        <v>62</v>
      </c>
      <c r="D44" s="171" t="s">
        <v>33</v>
      </c>
      <c r="E44" s="80" t="s">
        <v>25</v>
      </c>
      <c r="F44" s="57" t="s">
        <v>85</v>
      </c>
      <c r="G44" s="184"/>
      <c r="H44" s="184"/>
      <c r="I44" s="184"/>
      <c r="J44" s="184"/>
      <c r="K44" s="184"/>
      <c r="L44" s="184"/>
      <c r="M44" s="184"/>
      <c r="N44" s="184"/>
      <c r="O44" s="21"/>
      <c r="P44" s="23"/>
      <c r="U44" s="24"/>
      <c r="V44" s="24"/>
      <c r="W44" s="24"/>
      <c r="X44" s="24"/>
      <c r="Y44" s="23"/>
      <c r="Z44" s="23"/>
      <c r="AA44" s="57" t="s">
        <v>209</v>
      </c>
      <c r="AB44" s="6" t="s">
        <v>30</v>
      </c>
      <c r="AC44" s="57" t="s">
        <v>102</v>
      </c>
      <c r="AD44" s="57" t="s">
        <v>210</v>
      </c>
      <c r="AE44" s="57" t="s">
        <v>64</v>
      </c>
      <c r="AF44" s="57" t="s">
        <v>85</v>
      </c>
      <c r="AG44" s="57" t="s">
        <v>46</v>
      </c>
      <c r="AH44" s="57" t="s">
        <v>116</v>
      </c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04"/>
      <c r="BG44" s="204"/>
      <c r="BH44" s="204"/>
      <c r="BI44" s="23"/>
      <c r="BJ44" s="23"/>
    </row>
    <row r="45" spans="1:62">
      <c r="A45" s="6" t="s">
        <v>211</v>
      </c>
      <c r="B45" s="6" t="s">
        <v>212</v>
      </c>
      <c r="C45" s="171" t="s">
        <v>116</v>
      </c>
      <c r="D45" s="28" t="s">
        <v>17</v>
      </c>
      <c r="E45" s="171" t="s">
        <v>32</v>
      </c>
      <c r="F45" s="171" t="s">
        <v>33</v>
      </c>
      <c r="G45" s="184"/>
      <c r="H45" s="184"/>
      <c r="I45" s="184"/>
      <c r="J45" s="184"/>
      <c r="K45" s="184"/>
      <c r="L45" s="184"/>
      <c r="M45" s="184"/>
      <c r="N45" s="184"/>
      <c r="O45" s="6"/>
      <c r="AA45" s="57" t="s">
        <v>213</v>
      </c>
      <c r="AB45" s="6" t="s">
        <v>30</v>
      </c>
      <c r="AC45" s="6" t="s">
        <v>214</v>
      </c>
      <c r="AD45" s="6" t="s">
        <v>32</v>
      </c>
      <c r="AE45" s="6" t="s">
        <v>33</v>
      </c>
      <c r="AF45" s="6" t="s">
        <v>31</v>
      </c>
      <c r="AG45" s="203"/>
      <c r="AH45" s="57"/>
    </row>
    <row r="46" spans="1:62">
      <c r="A46" s="6" t="s">
        <v>215</v>
      </c>
      <c r="B46" s="6" t="s">
        <v>216</v>
      </c>
      <c r="C46" s="9" t="s">
        <v>24</v>
      </c>
      <c r="D46" s="171" t="s">
        <v>31</v>
      </c>
      <c r="E46" s="11" t="s">
        <v>46</v>
      </c>
      <c r="F46" s="78" t="s">
        <v>61</v>
      </c>
      <c r="G46" s="18" t="s">
        <v>19</v>
      </c>
      <c r="H46" s="13" t="s">
        <v>18</v>
      </c>
      <c r="I46" s="171" t="s">
        <v>32</v>
      </c>
      <c r="J46" s="171" t="s">
        <v>45</v>
      </c>
      <c r="K46" s="184"/>
      <c r="L46" s="184"/>
      <c r="M46" s="184"/>
      <c r="N46" s="184"/>
      <c r="O46" s="11"/>
      <c r="AA46" s="57" t="s">
        <v>217</v>
      </c>
      <c r="AB46" s="6" t="s">
        <v>30</v>
      </c>
      <c r="AC46" s="6" t="s">
        <v>33</v>
      </c>
      <c r="AD46" s="6" t="s">
        <v>31</v>
      </c>
      <c r="AE46" s="6" t="s">
        <v>45</v>
      </c>
      <c r="AF46" s="6" t="s">
        <v>32</v>
      </c>
      <c r="AG46" s="57"/>
      <c r="AH46" s="57"/>
      <c r="BF46" s="55"/>
      <c r="BG46" s="55"/>
      <c r="BH46" s="55"/>
    </row>
    <row r="47" spans="1:62">
      <c r="A47" s="11" t="s">
        <v>218</v>
      </c>
      <c r="B47" s="6" t="s">
        <v>219</v>
      </c>
      <c r="C47" s="13" t="s">
        <v>40</v>
      </c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21"/>
      <c r="AA47" s="57" t="s">
        <v>220</v>
      </c>
      <c r="AB47" s="6" t="s">
        <v>30</v>
      </c>
      <c r="AC47" s="57" t="s">
        <v>21</v>
      </c>
      <c r="AD47" s="57" t="s">
        <v>65</v>
      </c>
      <c r="AE47" s="57" t="s">
        <v>64</v>
      </c>
      <c r="AF47" s="57" t="s">
        <v>27</v>
      </c>
      <c r="AG47" s="57" t="s">
        <v>210</v>
      </c>
      <c r="AH47" s="57"/>
    </row>
    <row r="48" spans="1:62">
      <c r="A48" s="6" t="s">
        <v>221</v>
      </c>
      <c r="B48" s="6" t="s">
        <v>222</v>
      </c>
      <c r="C48" s="57" t="s">
        <v>65</v>
      </c>
      <c r="D48" s="80" t="s">
        <v>25</v>
      </c>
      <c r="E48" s="57" t="s">
        <v>21</v>
      </c>
      <c r="F48" s="57" t="s">
        <v>64</v>
      </c>
      <c r="G48" s="184"/>
      <c r="H48" s="184"/>
      <c r="I48" s="184"/>
      <c r="J48" s="184"/>
      <c r="K48" s="184"/>
      <c r="L48" s="184"/>
      <c r="M48" s="184"/>
      <c r="N48" s="184"/>
      <c r="O48" s="11"/>
      <c r="AA48" s="16" t="s">
        <v>223</v>
      </c>
      <c r="AB48" s="57" t="s">
        <v>224</v>
      </c>
      <c r="AC48" s="6" t="s">
        <v>33</v>
      </c>
      <c r="AD48" s="6" t="s">
        <v>31</v>
      </c>
      <c r="AE48" s="6"/>
      <c r="AF48" s="6"/>
      <c r="AG48" s="6"/>
      <c r="AH48" s="6"/>
      <c r="BF48" s="55"/>
      <c r="BG48" s="55"/>
      <c r="BH48" s="55"/>
    </row>
    <row r="49" spans="1:62" ht="37.5">
      <c r="A49" s="33" t="s">
        <v>225</v>
      </c>
      <c r="B49" s="34" t="s">
        <v>226</v>
      </c>
      <c r="C49" s="33" t="s">
        <v>227</v>
      </c>
      <c r="D49" s="33" t="s">
        <v>138</v>
      </c>
      <c r="E49" s="33" t="s">
        <v>185</v>
      </c>
      <c r="F49" s="33" t="s">
        <v>228</v>
      </c>
      <c r="G49" s="33" t="s">
        <v>229</v>
      </c>
      <c r="H49" s="33" t="s">
        <v>230</v>
      </c>
      <c r="I49" s="35" t="s">
        <v>25</v>
      </c>
      <c r="J49" s="36"/>
      <c r="K49" s="36"/>
      <c r="L49" s="36"/>
      <c r="M49" s="36"/>
      <c r="N49" s="36"/>
      <c r="O49" s="11"/>
      <c r="Q49" s="1"/>
      <c r="R49" s="1"/>
      <c r="S49" s="1"/>
      <c r="T49" s="1"/>
      <c r="U49" s="1"/>
      <c r="V49" s="1"/>
      <c r="W49" s="1"/>
      <c r="X49" s="1"/>
      <c r="Z49" s="1"/>
      <c r="AB49" s="1"/>
      <c r="AC49" s="1"/>
      <c r="AD49" s="1"/>
    </row>
    <row r="50" spans="1:62">
      <c r="A50" s="33" t="s">
        <v>231</v>
      </c>
      <c r="B50" s="34" t="s">
        <v>232</v>
      </c>
      <c r="C50" s="18" t="s">
        <v>20</v>
      </c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11"/>
      <c r="Q50" s="1"/>
      <c r="R50" s="1"/>
      <c r="S50" s="1"/>
      <c r="T50" s="1"/>
      <c r="U50" s="1"/>
      <c r="V50" s="1"/>
      <c r="W50" s="1"/>
      <c r="X50" s="1"/>
      <c r="Z50" s="1"/>
      <c r="AB50" s="1"/>
      <c r="AC50" s="1"/>
      <c r="AD50" s="1"/>
    </row>
    <row r="51" spans="1:62" ht="37.5">
      <c r="A51" s="33" t="s">
        <v>233</v>
      </c>
      <c r="B51" s="34" t="s">
        <v>234</v>
      </c>
      <c r="C51" s="35" t="s">
        <v>25</v>
      </c>
      <c r="D51" s="33" t="s">
        <v>230</v>
      </c>
      <c r="E51" s="33" t="s">
        <v>1684</v>
      </c>
      <c r="F51" s="33" t="s">
        <v>136</v>
      </c>
      <c r="G51" s="33" t="s">
        <v>228</v>
      </c>
      <c r="H51" s="37" t="s">
        <v>31</v>
      </c>
      <c r="I51" s="37" t="s">
        <v>33</v>
      </c>
      <c r="J51" s="36"/>
      <c r="K51" s="36"/>
      <c r="L51" s="36"/>
      <c r="M51" s="36"/>
      <c r="N51" s="36"/>
      <c r="O51" s="11"/>
      <c r="Q51" s="1"/>
      <c r="R51" s="1"/>
      <c r="S51" s="1"/>
      <c r="T51" s="1"/>
      <c r="U51" s="1"/>
      <c r="V51" s="1"/>
      <c r="W51" s="1"/>
      <c r="X51" s="1"/>
      <c r="Z51" s="1"/>
      <c r="AA51" s="55"/>
      <c r="AB51" s="55"/>
      <c r="AC51" s="55"/>
      <c r="AD51" s="55"/>
      <c r="AE51" s="55"/>
      <c r="AF51" s="55"/>
      <c r="AG51" s="55"/>
    </row>
    <row r="52" spans="1:62" ht="37.5">
      <c r="A52" s="33" t="s">
        <v>235</v>
      </c>
      <c r="B52" s="34" t="s">
        <v>236</v>
      </c>
      <c r="C52" s="38" t="s">
        <v>127</v>
      </c>
      <c r="D52" s="33" t="s">
        <v>1684</v>
      </c>
      <c r="E52" s="33" t="s">
        <v>228</v>
      </c>
      <c r="F52" s="33" t="s">
        <v>227</v>
      </c>
      <c r="G52" s="36"/>
      <c r="H52" s="36"/>
      <c r="I52" s="36"/>
      <c r="J52" s="36"/>
      <c r="K52" s="36"/>
      <c r="L52" s="36"/>
      <c r="M52" s="36"/>
      <c r="N52" s="36"/>
      <c r="O52" s="11" t="s">
        <v>1680</v>
      </c>
      <c r="Q52" s="1"/>
      <c r="R52" s="1"/>
      <c r="S52" s="1"/>
      <c r="T52" s="1"/>
      <c r="U52" s="1"/>
      <c r="V52" s="1"/>
      <c r="W52" s="1"/>
      <c r="X52" s="1"/>
      <c r="Z52" s="1"/>
      <c r="AB52" s="1"/>
      <c r="AC52" s="1"/>
      <c r="AD52" s="1"/>
    </row>
    <row r="53" spans="1:62">
      <c r="A53" s="39" t="s">
        <v>237</v>
      </c>
      <c r="B53" s="39" t="s">
        <v>1725</v>
      </c>
      <c r="C53" s="40" t="s">
        <v>200</v>
      </c>
      <c r="D53" s="35" t="s">
        <v>25</v>
      </c>
      <c r="E53" s="41" t="s">
        <v>238</v>
      </c>
      <c r="F53" s="38" t="s">
        <v>127</v>
      </c>
      <c r="G53" s="40" t="s">
        <v>200</v>
      </c>
      <c r="H53" s="40" t="s">
        <v>200</v>
      </c>
      <c r="I53" s="40" t="s">
        <v>200</v>
      </c>
      <c r="J53" s="36"/>
      <c r="K53" s="36"/>
      <c r="L53" s="36"/>
      <c r="M53" s="36"/>
      <c r="N53" s="36"/>
      <c r="O53" s="11" t="s">
        <v>346</v>
      </c>
      <c r="Q53" s="1"/>
      <c r="R53" s="1"/>
      <c r="S53" s="1"/>
      <c r="T53" s="1"/>
      <c r="U53" s="1"/>
      <c r="V53" s="1"/>
      <c r="W53" s="1"/>
      <c r="X53" s="1"/>
      <c r="Z53" s="1"/>
      <c r="AA53" s="55"/>
      <c r="AB53" s="55"/>
      <c r="AC53" s="55"/>
      <c r="AD53" s="55"/>
      <c r="AE53" s="55"/>
      <c r="AF53" s="55"/>
      <c r="AG53" s="55"/>
      <c r="BF53" s="55"/>
      <c r="BG53" s="55"/>
      <c r="BH53" s="55"/>
    </row>
    <row r="54" spans="1:62">
      <c r="D54" s="3"/>
      <c r="Z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</row>
    <row r="55" spans="1:62" s="3" customFormat="1" hidden="1">
      <c r="A55" s="1" t="s">
        <v>239</v>
      </c>
      <c r="B55" s="42" t="s">
        <v>240</v>
      </c>
      <c r="C55" s="11">
        <v>11508</v>
      </c>
      <c r="D55" s="11">
        <v>11509</v>
      </c>
      <c r="E55" s="11">
        <v>11510</v>
      </c>
      <c r="F55" s="11">
        <v>11511</v>
      </c>
      <c r="G55" s="11">
        <v>11512</v>
      </c>
      <c r="H55" s="11">
        <v>11601</v>
      </c>
      <c r="I55" s="11">
        <v>11602</v>
      </c>
      <c r="J55" s="11">
        <v>11603</v>
      </c>
      <c r="K55" s="11">
        <v>11604</v>
      </c>
      <c r="L55" s="11">
        <v>11605</v>
      </c>
      <c r="M55" s="11">
        <v>11606</v>
      </c>
      <c r="N55" s="11">
        <v>11607</v>
      </c>
      <c r="O55" s="3" t="s">
        <v>241</v>
      </c>
      <c r="P55" s="1"/>
      <c r="Y55" s="1"/>
      <c r="AA55" s="1"/>
      <c r="AB55" s="4"/>
      <c r="AC55" s="4"/>
      <c r="AD55" s="4"/>
      <c r="AE55" s="1"/>
      <c r="AF55" s="1"/>
      <c r="AG55" s="1"/>
    </row>
    <row r="56" spans="1:62" s="3" customFormat="1" hidden="1">
      <c r="A56" s="1"/>
      <c r="B56" s="185" t="s">
        <v>242</v>
      </c>
      <c r="C56" s="78">
        <f t="shared" ref="C56:N64" si="0">COUNTIF(C$3:C$53,$B56)</f>
        <v>0</v>
      </c>
      <c r="D56" s="78">
        <f t="shared" si="0"/>
        <v>0</v>
      </c>
      <c r="E56" s="78">
        <f t="shared" si="0"/>
        <v>0</v>
      </c>
      <c r="F56" s="78">
        <f t="shared" si="0"/>
        <v>0</v>
      </c>
      <c r="G56" s="78">
        <f t="shared" si="0"/>
        <v>0</v>
      </c>
      <c r="H56" s="78">
        <f t="shared" si="0"/>
        <v>0</v>
      </c>
      <c r="I56" s="78">
        <f t="shared" si="0"/>
        <v>0</v>
      </c>
      <c r="J56" s="78">
        <f t="shared" si="0"/>
        <v>0</v>
      </c>
      <c r="K56" s="78">
        <f t="shared" si="0"/>
        <v>0</v>
      </c>
      <c r="L56" s="78">
        <f t="shared" si="0"/>
        <v>0</v>
      </c>
      <c r="M56" s="78">
        <f t="shared" si="0"/>
        <v>0</v>
      </c>
      <c r="N56" s="78">
        <f t="shared" si="0"/>
        <v>0</v>
      </c>
      <c r="O56" s="3">
        <f>SUM(C56:N56)</f>
        <v>0</v>
      </c>
      <c r="P56" s="1"/>
      <c r="Y56" s="1"/>
      <c r="AA56" s="1"/>
      <c r="AB56" s="4"/>
      <c r="AC56" s="4"/>
      <c r="AD56" s="4"/>
      <c r="AE56" s="1"/>
      <c r="AF56" s="1"/>
      <c r="AG56" s="1"/>
    </row>
    <row r="57" spans="1:62" s="3" customFormat="1" hidden="1">
      <c r="A57" s="19"/>
      <c r="B57" s="185" t="s">
        <v>137</v>
      </c>
      <c r="C57" s="78">
        <f t="shared" si="0"/>
        <v>1</v>
      </c>
      <c r="D57" s="78">
        <f t="shared" si="0"/>
        <v>1</v>
      </c>
      <c r="E57" s="78">
        <f t="shared" si="0"/>
        <v>2</v>
      </c>
      <c r="F57" s="78">
        <f t="shared" si="0"/>
        <v>1</v>
      </c>
      <c r="G57" s="78">
        <f t="shared" si="0"/>
        <v>1</v>
      </c>
      <c r="H57" s="78">
        <f t="shared" si="0"/>
        <v>2</v>
      </c>
      <c r="I57" s="78">
        <f t="shared" si="0"/>
        <v>1</v>
      </c>
      <c r="J57" s="78">
        <f t="shared" si="0"/>
        <v>0</v>
      </c>
      <c r="K57" s="78">
        <f t="shared" si="0"/>
        <v>0</v>
      </c>
      <c r="L57" s="78">
        <f t="shared" si="0"/>
        <v>0</v>
      </c>
      <c r="M57" s="78">
        <f t="shared" si="0"/>
        <v>0</v>
      </c>
      <c r="N57" s="78">
        <f t="shared" si="0"/>
        <v>0</v>
      </c>
      <c r="O57" s="3">
        <f t="shared" ref="O57:O82" si="1">SUM(C57:N57)</f>
        <v>9</v>
      </c>
      <c r="P57" s="1"/>
      <c r="Y57" s="1"/>
      <c r="AA57" s="1"/>
      <c r="AB57" s="4"/>
      <c r="AC57" s="4"/>
      <c r="AD57" s="4"/>
      <c r="AE57" s="1"/>
      <c r="AF57" s="1"/>
      <c r="AG57" s="1"/>
    </row>
    <row r="58" spans="1:62" s="3" customFormat="1" hidden="1">
      <c r="A58" s="19"/>
      <c r="B58" s="185" t="s">
        <v>20</v>
      </c>
      <c r="C58" s="78">
        <f t="shared" si="0"/>
        <v>3</v>
      </c>
      <c r="D58" s="78">
        <f t="shared" si="0"/>
        <v>2</v>
      </c>
      <c r="E58" s="78">
        <f t="shared" si="0"/>
        <v>2</v>
      </c>
      <c r="F58" s="78">
        <f t="shared" si="0"/>
        <v>1</v>
      </c>
      <c r="G58" s="78">
        <f t="shared" si="0"/>
        <v>1</v>
      </c>
      <c r="H58" s="78">
        <f t="shared" si="0"/>
        <v>1</v>
      </c>
      <c r="I58" s="78">
        <f t="shared" si="0"/>
        <v>2</v>
      </c>
      <c r="J58" s="78">
        <f t="shared" si="0"/>
        <v>2</v>
      </c>
      <c r="K58" s="78">
        <f t="shared" si="0"/>
        <v>2</v>
      </c>
      <c r="L58" s="78">
        <f t="shared" si="0"/>
        <v>3</v>
      </c>
      <c r="M58" s="78">
        <f t="shared" si="0"/>
        <v>1</v>
      </c>
      <c r="N58" s="78">
        <f t="shared" si="0"/>
        <v>2</v>
      </c>
      <c r="O58" s="3">
        <f t="shared" si="1"/>
        <v>22</v>
      </c>
      <c r="P58" s="1"/>
      <c r="Y58" s="1"/>
      <c r="AA58" s="1"/>
      <c r="AB58" s="4"/>
      <c r="AC58" s="4"/>
      <c r="AD58" s="4"/>
      <c r="AE58" s="1"/>
      <c r="AF58" s="1"/>
      <c r="AG58" s="1"/>
    </row>
    <row r="59" spans="1:62" s="3" customFormat="1" hidden="1">
      <c r="A59" s="19"/>
      <c r="B59" s="185" t="s">
        <v>19</v>
      </c>
      <c r="C59" s="78">
        <f t="shared" si="0"/>
        <v>3</v>
      </c>
      <c r="D59" s="78">
        <f t="shared" si="0"/>
        <v>3</v>
      </c>
      <c r="E59" s="78">
        <f t="shared" si="0"/>
        <v>2</v>
      </c>
      <c r="F59" s="78">
        <f t="shared" si="0"/>
        <v>4</v>
      </c>
      <c r="G59" s="78">
        <f t="shared" si="0"/>
        <v>2</v>
      </c>
      <c r="H59" s="78">
        <f t="shared" si="0"/>
        <v>1</v>
      </c>
      <c r="I59" s="78">
        <f t="shared" si="0"/>
        <v>2</v>
      </c>
      <c r="J59" s="78">
        <f t="shared" si="0"/>
        <v>1</v>
      </c>
      <c r="K59" s="78">
        <f t="shared" si="0"/>
        <v>1</v>
      </c>
      <c r="L59" s="78">
        <f t="shared" si="0"/>
        <v>2</v>
      </c>
      <c r="M59" s="78">
        <f t="shared" si="0"/>
        <v>2</v>
      </c>
      <c r="N59" s="78">
        <f t="shared" si="0"/>
        <v>2</v>
      </c>
      <c r="O59" s="3">
        <f t="shared" si="1"/>
        <v>25</v>
      </c>
      <c r="P59" s="1"/>
      <c r="Y59" s="1"/>
      <c r="AA59" s="1"/>
      <c r="AB59" s="4"/>
      <c r="AC59" s="4"/>
      <c r="AD59" s="4"/>
      <c r="AE59" s="1"/>
      <c r="AF59" s="1"/>
      <c r="AG59" s="1"/>
    </row>
    <row r="60" spans="1:62" s="3" customFormat="1" hidden="1">
      <c r="A60" s="19"/>
      <c r="B60" s="185" t="s">
        <v>61</v>
      </c>
      <c r="C60" s="78">
        <f t="shared" si="0"/>
        <v>2</v>
      </c>
      <c r="D60" s="78">
        <f t="shared" si="0"/>
        <v>2</v>
      </c>
      <c r="E60" s="78">
        <f t="shared" si="0"/>
        <v>3</v>
      </c>
      <c r="F60" s="78">
        <f t="shared" si="0"/>
        <v>2</v>
      </c>
      <c r="G60" s="78">
        <f t="shared" si="0"/>
        <v>2</v>
      </c>
      <c r="H60" s="78">
        <f t="shared" si="0"/>
        <v>2</v>
      </c>
      <c r="I60" s="78">
        <f t="shared" si="0"/>
        <v>1</v>
      </c>
      <c r="J60" s="78">
        <f t="shared" si="0"/>
        <v>1</v>
      </c>
      <c r="K60" s="78">
        <f t="shared" si="0"/>
        <v>2</v>
      </c>
      <c r="L60" s="78">
        <f t="shared" si="0"/>
        <v>1</v>
      </c>
      <c r="M60" s="78">
        <f t="shared" si="0"/>
        <v>2</v>
      </c>
      <c r="N60" s="78">
        <f t="shared" si="0"/>
        <v>0</v>
      </c>
      <c r="O60" s="3">
        <f t="shared" si="1"/>
        <v>20</v>
      </c>
      <c r="P60" s="1"/>
      <c r="Y60" s="1"/>
      <c r="AA60" s="1"/>
      <c r="AB60" s="4"/>
      <c r="AC60" s="4"/>
      <c r="AD60" s="4"/>
      <c r="AE60" s="1"/>
      <c r="AF60" s="1"/>
      <c r="AG60" s="1"/>
    </row>
    <row r="61" spans="1:62" s="3" customFormat="1" hidden="1">
      <c r="A61" s="19"/>
      <c r="B61" s="185" t="s">
        <v>166</v>
      </c>
      <c r="C61" s="78">
        <f t="shared" si="0"/>
        <v>0</v>
      </c>
      <c r="D61" s="78">
        <f t="shared" si="0"/>
        <v>0</v>
      </c>
      <c r="E61" s="78">
        <f t="shared" si="0"/>
        <v>1</v>
      </c>
      <c r="F61" s="78">
        <f t="shared" si="0"/>
        <v>1</v>
      </c>
      <c r="G61" s="78">
        <f t="shared" si="0"/>
        <v>1</v>
      </c>
      <c r="H61" s="78">
        <f t="shared" si="0"/>
        <v>1</v>
      </c>
      <c r="I61" s="78">
        <f t="shared" si="0"/>
        <v>1</v>
      </c>
      <c r="J61" s="78">
        <f t="shared" si="0"/>
        <v>0</v>
      </c>
      <c r="K61" s="78">
        <f t="shared" si="0"/>
        <v>0</v>
      </c>
      <c r="L61" s="78">
        <f t="shared" si="0"/>
        <v>2</v>
      </c>
      <c r="M61" s="78">
        <f t="shared" si="0"/>
        <v>1</v>
      </c>
      <c r="N61" s="78">
        <f t="shared" si="0"/>
        <v>1</v>
      </c>
      <c r="O61" s="3">
        <f t="shared" si="1"/>
        <v>9</v>
      </c>
      <c r="P61" s="1"/>
      <c r="Y61" s="1"/>
      <c r="AA61" s="1"/>
      <c r="AB61" s="4"/>
      <c r="AC61" s="4"/>
      <c r="AD61" s="4"/>
      <c r="AE61" s="1"/>
      <c r="AF61" s="1"/>
      <c r="AG61" s="1"/>
    </row>
    <row r="62" spans="1:62" s="3" customFormat="1" hidden="1">
      <c r="A62" s="19"/>
      <c r="B62" s="185" t="s">
        <v>39</v>
      </c>
      <c r="C62" s="78">
        <f t="shared" si="0"/>
        <v>2</v>
      </c>
      <c r="D62" s="78">
        <f t="shared" si="0"/>
        <v>3</v>
      </c>
      <c r="E62" s="78">
        <f t="shared" si="0"/>
        <v>1</v>
      </c>
      <c r="F62" s="78">
        <f t="shared" si="0"/>
        <v>1</v>
      </c>
      <c r="G62" s="78">
        <f t="shared" si="0"/>
        <v>2</v>
      </c>
      <c r="H62" s="78">
        <f t="shared" si="0"/>
        <v>2</v>
      </c>
      <c r="I62" s="78">
        <f t="shared" si="0"/>
        <v>2</v>
      </c>
      <c r="J62" s="78">
        <f t="shared" si="0"/>
        <v>3</v>
      </c>
      <c r="K62" s="78">
        <f t="shared" si="0"/>
        <v>1</v>
      </c>
      <c r="L62" s="78">
        <f t="shared" si="0"/>
        <v>2</v>
      </c>
      <c r="M62" s="78">
        <f t="shared" si="0"/>
        <v>1</v>
      </c>
      <c r="N62" s="78">
        <f t="shared" si="0"/>
        <v>1</v>
      </c>
      <c r="O62" s="3">
        <f t="shared" si="1"/>
        <v>21</v>
      </c>
      <c r="P62" s="1"/>
      <c r="Y62" s="1"/>
      <c r="AA62" s="1"/>
      <c r="AB62" s="4"/>
      <c r="AC62" s="4"/>
      <c r="AD62" s="4"/>
      <c r="AE62" s="1"/>
      <c r="AF62" s="1"/>
      <c r="AG62" s="1"/>
    </row>
    <row r="63" spans="1:62" s="3" customFormat="1" hidden="1">
      <c r="A63" s="19"/>
      <c r="B63" s="185" t="s">
        <v>40</v>
      </c>
      <c r="C63" s="78">
        <f t="shared" si="0"/>
        <v>2</v>
      </c>
      <c r="D63" s="78">
        <f t="shared" si="0"/>
        <v>1</v>
      </c>
      <c r="E63" s="78">
        <f t="shared" si="0"/>
        <v>2</v>
      </c>
      <c r="F63" s="78">
        <f t="shared" si="0"/>
        <v>1</v>
      </c>
      <c r="G63" s="78">
        <f t="shared" si="0"/>
        <v>2</v>
      </c>
      <c r="H63" s="78">
        <f t="shared" si="0"/>
        <v>1</v>
      </c>
      <c r="I63" s="78">
        <f t="shared" si="0"/>
        <v>1</v>
      </c>
      <c r="J63" s="78">
        <f t="shared" si="0"/>
        <v>1</v>
      </c>
      <c r="K63" s="78">
        <f t="shared" si="0"/>
        <v>2</v>
      </c>
      <c r="L63" s="78">
        <f t="shared" si="0"/>
        <v>0</v>
      </c>
      <c r="M63" s="78">
        <f t="shared" si="0"/>
        <v>1</v>
      </c>
      <c r="N63" s="78">
        <f t="shared" si="0"/>
        <v>2</v>
      </c>
      <c r="O63" s="3">
        <f t="shared" si="1"/>
        <v>16</v>
      </c>
      <c r="P63" s="1"/>
      <c r="Y63" s="1"/>
      <c r="AA63" s="1"/>
      <c r="AB63" s="4"/>
      <c r="AC63" s="4"/>
      <c r="AD63" s="4"/>
      <c r="AE63" s="1"/>
      <c r="AF63" s="1"/>
      <c r="AG63" s="1"/>
    </row>
    <row r="64" spans="1:62" s="3" customFormat="1" hidden="1">
      <c r="A64" s="19"/>
      <c r="B64" s="185" t="s">
        <v>18</v>
      </c>
      <c r="C64" s="78">
        <f t="shared" si="0"/>
        <v>1</v>
      </c>
      <c r="D64" s="78">
        <f t="shared" si="0"/>
        <v>2</v>
      </c>
      <c r="E64" s="78">
        <f t="shared" si="0"/>
        <v>2</v>
      </c>
      <c r="F64" s="78">
        <f t="shared" si="0"/>
        <v>2</v>
      </c>
      <c r="G64" s="78">
        <f t="shared" si="0"/>
        <v>1</v>
      </c>
      <c r="H64" s="78">
        <f t="shared" si="0"/>
        <v>2</v>
      </c>
      <c r="I64" s="78">
        <f t="shared" si="0"/>
        <v>1</v>
      </c>
      <c r="J64" s="78">
        <f t="shared" si="0"/>
        <v>1</v>
      </c>
      <c r="K64" s="78">
        <f t="shared" si="0"/>
        <v>2</v>
      </c>
      <c r="L64" s="78">
        <f t="shared" si="0"/>
        <v>2</v>
      </c>
      <c r="M64" s="78">
        <f t="shared" si="0"/>
        <v>2</v>
      </c>
      <c r="N64" s="78">
        <f t="shared" si="0"/>
        <v>1</v>
      </c>
      <c r="O64" s="3">
        <f>SUM(C64:N64)</f>
        <v>19</v>
      </c>
      <c r="P64" s="1"/>
      <c r="Y64" s="1"/>
      <c r="AA64" s="1"/>
      <c r="AB64" s="4"/>
      <c r="AC64" s="4"/>
      <c r="AD64" s="4"/>
      <c r="AE64" s="1"/>
      <c r="AF64" s="1"/>
      <c r="AG64" s="1"/>
    </row>
    <row r="65" spans="1:33" s="3" customFormat="1" hidden="1">
      <c r="A65" s="19"/>
      <c r="B65" s="185" t="s">
        <v>243</v>
      </c>
      <c r="C65" s="78">
        <f t="shared" ref="C65:N65" si="2">SUM(C56:C64)</f>
        <v>14</v>
      </c>
      <c r="D65" s="78">
        <f t="shared" si="2"/>
        <v>14</v>
      </c>
      <c r="E65" s="78">
        <f t="shared" si="2"/>
        <v>15</v>
      </c>
      <c r="F65" s="78">
        <f t="shared" si="2"/>
        <v>13</v>
      </c>
      <c r="G65" s="78">
        <f t="shared" si="2"/>
        <v>12</v>
      </c>
      <c r="H65" s="78">
        <f t="shared" si="2"/>
        <v>12</v>
      </c>
      <c r="I65" s="78">
        <f t="shared" si="2"/>
        <v>11</v>
      </c>
      <c r="J65" s="78">
        <f t="shared" si="2"/>
        <v>9</v>
      </c>
      <c r="K65" s="78">
        <f t="shared" si="2"/>
        <v>10</v>
      </c>
      <c r="L65" s="78">
        <f t="shared" si="2"/>
        <v>12</v>
      </c>
      <c r="M65" s="78">
        <f t="shared" si="2"/>
        <v>10</v>
      </c>
      <c r="N65" s="78">
        <f t="shared" si="2"/>
        <v>9</v>
      </c>
      <c r="O65" s="3">
        <f t="shared" si="1"/>
        <v>141</v>
      </c>
      <c r="P65" s="1"/>
      <c r="Y65" s="1"/>
      <c r="AA65" s="1"/>
      <c r="AB65" s="4"/>
      <c r="AC65" s="4"/>
      <c r="AD65" s="4"/>
      <c r="AE65" s="1"/>
      <c r="AF65" s="1"/>
      <c r="AG65" s="1"/>
    </row>
    <row r="66" spans="1:33" s="3" customFormat="1" hidden="1">
      <c r="A66" s="19"/>
      <c r="B66" s="43" t="s">
        <v>244</v>
      </c>
      <c r="C66" s="64">
        <f t="shared" ref="C66:N73" si="3">COUNTIF(C$3:C$53,$B66)</f>
        <v>0</v>
      </c>
      <c r="D66" s="64">
        <f t="shared" si="3"/>
        <v>0</v>
      </c>
      <c r="E66" s="64">
        <f t="shared" si="3"/>
        <v>0</v>
      </c>
      <c r="F66" s="64">
        <f t="shared" si="3"/>
        <v>0</v>
      </c>
      <c r="G66" s="64">
        <f t="shared" si="3"/>
        <v>0</v>
      </c>
      <c r="H66" s="64">
        <f t="shared" si="3"/>
        <v>0</v>
      </c>
      <c r="I66" s="64">
        <f t="shared" si="3"/>
        <v>0</v>
      </c>
      <c r="J66" s="64">
        <f t="shared" si="3"/>
        <v>0</v>
      </c>
      <c r="K66" s="64">
        <f t="shared" si="3"/>
        <v>0</v>
      </c>
      <c r="L66" s="64">
        <f t="shared" si="3"/>
        <v>0</v>
      </c>
      <c r="M66" s="64">
        <f t="shared" si="3"/>
        <v>0</v>
      </c>
      <c r="N66" s="64">
        <f t="shared" si="3"/>
        <v>0</v>
      </c>
      <c r="O66" s="3">
        <f t="shared" si="1"/>
        <v>0</v>
      </c>
      <c r="P66" s="1"/>
      <c r="Y66" s="1"/>
      <c r="AA66" s="1"/>
      <c r="AB66" s="4"/>
      <c r="AC66" s="4"/>
      <c r="AD66" s="4"/>
      <c r="AE66" s="1"/>
      <c r="AF66" s="1"/>
      <c r="AG66" s="1"/>
    </row>
    <row r="67" spans="1:33" s="3" customFormat="1" hidden="1">
      <c r="A67" s="44"/>
      <c r="B67" s="45" t="s">
        <v>23</v>
      </c>
      <c r="C67" s="64">
        <f t="shared" si="3"/>
        <v>3</v>
      </c>
      <c r="D67" s="64">
        <f t="shared" si="3"/>
        <v>2</v>
      </c>
      <c r="E67" s="64">
        <f t="shared" si="3"/>
        <v>3</v>
      </c>
      <c r="F67" s="64">
        <f t="shared" si="3"/>
        <v>3</v>
      </c>
      <c r="G67" s="64">
        <f t="shared" si="3"/>
        <v>3</v>
      </c>
      <c r="H67" s="64">
        <f t="shared" si="3"/>
        <v>2</v>
      </c>
      <c r="I67" s="64">
        <f t="shared" si="3"/>
        <v>3</v>
      </c>
      <c r="J67" s="64">
        <f t="shared" si="3"/>
        <v>3</v>
      </c>
      <c r="K67" s="64">
        <f t="shared" si="3"/>
        <v>3</v>
      </c>
      <c r="L67" s="64">
        <f t="shared" si="3"/>
        <v>3</v>
      </c>
      <c r="M67" s="64">
        <f t="shared" si="3"/>
        <v>3</v>
      </c>
      <c r="N67" s="64">
        <f t="shared" si="3"/>
        <v>3</v>
      </c>
      <c r="O67" s="3">
        <f t="shared" si="1"/>
        <v>34</v>
      </c>
      <c r="P67" s="1"/>
      <c r="Y67" s="1"/>
      <c r="AA67" s="1"/>
      <c r="AB67" s="4"/>
      <c r="AC67" s="4"/>
      <c r="AD67" s="4"/>
      <c r="AE67" s="1"/>
      <c r="AF67" s="1"/>
      <c r="AG67" s="1"/>
    </row>
    <row r="68" spans="1:33" s="3" customFormat="1" hidden="1">
      <c r="A68" s="19"/>
      <c r="B68" s="43" t="s">
        <v>125</v>
      </c>
      <c r="C68" s="64">
        <f t="shared" si="3"/>
        <v>1</v>
      </c>
      <c r="D68" s="64">
        <f t="shared" si="3"/>
        <v>1</v>
      </c>
      <c r="E68" s="64">
        <f t="shared" si="3"/>
        <v>0</v>
      </c>
      <c r="F68" s="64">
        <f t="shared" si="3"/>
        <v>0</v>
      </c>
      <c r="G68" s="64">
        <f t="shared" si="3"/>
        <v>1</v>
      </c>
      <c r="H68" s="64">
        <f t="shared" si="3"/>
        <v>0</v>
      </c>
      <c r="I68" s="64">
        <f t="shared" si="3"/>
        <v>0</v>
      </c>
      <c r="J68" s="64">
        <f t="shared" si="3"/>
        <v>1</v>
      </c>
      <c r="K68" s="64">
        <f t="shared" si="3"/>
        <v>1</v>
      </c>
      <c r="L68" s="64">
        <f t="shared" si="3"/>
        <v>0</v>
      </c>
      <c r="M68" s="64">
        <f t="shared" si="3"/>
        <v>1</v>
      </c>
      <c r="N68" s="64">
        <f t="shared" si="3"/>
        <v>0</v>
      </c>
      <c r="O68" s="3">
        <f t="shared" si="1"/>
        <v>6</v>
      </c>
      <c r="P68" s="1"/>
      <c r="Y68" s="1"/>
      <c r="AA68" s="1"/>
      <c r="AB68" s="4"/>
      <c r="AC68" s="4"/>
      <c r="AD68" s="4"/>
      <c r="AE68" s="1"/>
      <c r="AF68" s="1"/>
      <c r="AG68" s="1"/>
    </row>
    <row r="69" spans="1:33" s="3" customFormat="1" hidden="1">
      <c r="A69" s="46"/>
      <c r="B69" s="43" t="s">
        <v>143</v>
      </c>
      <c r="C69" s="64">
        <f t="shared" si="3"/>
        <v>0</v>
      </c>
      <c r="D69" s="64">
        <f t="shared" si="3"/>
        <v>1</v>
      </c>
      <c r="E69" s="64">
        <f t="shared" si="3"/>
        <v>0</v>
      </c>
      <c r="F69" s="64">
        <f t="shared" si="3"/>
        <v>1</v>
      </c>
      <c r="G69" s="64">
        <f t="shared" si="3"/>
        <v>0</v>
      </c>
      <c r="H69" s="64">
        <f t="shared" si="3"/>
        <v>0</v>
      </c>
      <c r="I69" s="64">
        <f t="shared" si="3"/>
        <v>1</v>
      </c>
      <c r="J69" s="64">
        <f t="shared" si="3"/>
        <v>0</v>
      </c>
      <c r="K69" s="64">
        <f t="shared" si="3"/>
        <v>1</v>
      </c>
      <c r="L69" s="64">
        <f t="shared" si="3"/>
        <v>0</v>
      </c>
      <c r="M69" s="64">
        <f t="shared" si="3"/>
        <v>1</v>
      </c>
      <c r="N69" s="64">
        <f t="shared" si="3"/>
        <v>1</v>
      </c>
      <c r="O69" s="3">
        <f t="shared" si="1"/>
        <v>6</v>
      </c>
      <c r="P69" s="47"/>
      <c r="Y69" s="1"/>
      <c r="AA69" s="1"/>
      <c r="AB69" s="4"/>
      <c r="AC69" s="4"/>
      <c r="AD69" s="4"/>
      <c r="AE69" s="1"/>
      <c r="AF69" s="1"/>
      <c r="AG69" s="1"/>
    </row>
    <row r="70" spans="1:33" s="3" customFormat="1" hidden="1">
      <c r="A70" s="48"/>
      <c r="B70" s="43" t="s">
        <v>94</v>
      </c>
      <c r="C70" s="64">
        <f t="shared" si="3"/>
        <v>1</v>
      </c>
      <c r="D70" s="64">
        <f t="shared" si="3"/>
        <v>1</v>
      </c>
      <c r="E70" s="64">
        <f t="shared" si="3"/>
        <v>0</v>
      </c>
      <c r="F70" s="64">
        <f t="shared" si="3"/>
        <v>2</v>
      </c>
      <c r="G70" s="64">
        <f t="shared" si="3"/>
        <v>0</v>
      </c>
      <c r="H70" s="64">
        <f t="shared" si="3"/>
        <v>0</v>
      </c>
      <c r="I70" s="64">
        <f t="shared" si="3"/>
        <v>1</v>
      </c>
      <c r="J70" s="64">
        <f t="shared" si="3"/>
        <v>0</v>
      </c>
      <c r="K70" s="64">
        <f t="shared" si="3"/>
        <v>0</v>
      </c>
      <c r="L70" s="64">
        <f t="shared" si="3"/>
        <v>0</v>
      </c>
      <c r="M70" s="64">
        <f t="shared" si="3"/>
        <v>0</v>
      </c>
      <c r="N70" s="64">
        <f t="shared" si="3"/>
        <v>0</v>
      </c>
      <c r="O70" s="3">
        <f t="shared" si="1"/>
        <v>5</v>
      </c>
      <c r="P70" s="1"/>
      <c r="Y70" s="1"/>
      <c r="AA70" s="1"/>
      <c r="AB70" s="4"/>
      <c r="AC70" s="4"/>
      <c r="AD70" s="4"/>
      <c r="AE70" s="1"/>
      <c r="AF70" s="1"/>
      <c r="AG70" s="1"/>
    </row>
    <row r="71" spans="1:33" s="3" customFormat="1" hidden="1">
      <c r="A71" s="48"/>
      <c r="B71" s="43" t="s">
        <v>24</v>
      </c>
      <c r="C71" s="64">
        <f t="shared" si="3"/>
        <v>1</v>
      </c>
      <c r="D71" s="64">
        <f t="shared" si="3"/>
        <v>1</v>
      </c>
      <c r="E71" s="64">
        <f t="shared" si="3"/>
        <v>0</v>
      </c>
      <c r="F71" s="64">
        <f t="shared" si="3"/>
        <v>2</v>
      </c>
      <c r="G71" s="64">
        <f t="shared" si="3"/>
        <v>0</v>
      </c>
      <c r="H71" s="64">
        <f t="shared" si="3"/>
        <v>1</v>
      </c>
      <c r="I71" s="64">
        <f t="shared" si="3"/>
        <v>1</v>
      </c>
      <c r="J71" s="64">
        <f t="shared" si="3"/>
        <v>1</v>
      </c>
      <c r="K71" s="64">
        <f t="shared" si="3"/>
        <v>0</v>
      </c>
      <c r="L71" s="64">
        <f t="shared" si="3"/>
        <v>1</v>
      </c>
      <c r="M71" s="64">
        <f t="shared" si="3"/>
        <v>1</v>
      </c>
      <c r="N71" s="64">
        <f t="shared" si="3"/>
        <v>1</v>
      </c>
      <c r="O71" s="3">
        <f t="shared" si="1"/>
        <v>10</v>
      </c>
      <c r="P71" s="1"/>
      <c r="Y71" s="1"/>
      <c r="AA71" s="1"/>
      <c r="AB71" s="4"/>
      <c r="AC71" s="4"/>
      <c r="AD71" s="4"/>
      <c r="AE71" s="1"/>
      <c r="AF71" s="1"/>
      <c r="AG71" s="1"/>
    </row>
    <row r="72" spans="1:33" s="3" customFormat="1" hidden="1">
      <c r="A72" s="48"/>
      <c r="B72" s="43" t="s">
        <v>62</v>
      </c>
      <c r="C72" s="64">
        <f t="shared" si="3"/>
        <v>1</v>
      </c>
      <c r="D72" s="64">
        <f t="shared" si="3"/>
        <v>0</v>
      </c>
      <c r="E72" s="64">
        <f t="shared" si="3"/>
        <v>2</v>
      </c>
      <c r="F72" s="64">
        <f t="shared" si="3"/>
        <v>0</v>
      </c>
      <c r="G72" s="64">
        <f t="shared" si="3"/>
        <v>0</v>
      </c>
      <c r="H72" s="64">
        <f t="shared" si="3"/>
        <v>1</v>
      </c>
      <c r="I72" s="64">
        <f t="shared" si="3"/>
        <v>1</v>
      </c>
      <c r="J72" s="64">
        <f t="shared" si="3"/>
        <v>1</v>
      </c>
      <c r="K72" s="64">
        <f t="shared" si="3"/>
        <v>1</v>
      </c>
      <c r="L72" s="64">
        <f t="shared" si="3"/>
        <v>2</v>
      </c>
      <c r="M72" s="64">
        <f t="shared" si="3"/>
        <v>0</v>
      </c>
      <c r="N72" s="64">
        <f t="shared" si="3"/>
        <v>1</v>
      </c>
      <c r="O72" s="3">
        <f t="shared" si="1"/>
        <v>10</v>
      </c>
      <c r="P72" s="1"/>
      <c r="Y72" s="1"/>
      <c r="AA72" s="1"/>
      <c r="AB72" s="4"/>
      <c r="AC72" s="4"/>
      <c r="AD72" s="4"/>
      <c r="AE72" s="1"/>
      <c r="AF72" s="1"/>
      <c r="AG72" s="1"/>
    </row>
    <row r="73" spans="1:33" s="3" customFormat="1" hidden="1">
      <c r="A73" s="19"/>
      <c r="B73" s="43" t="s">
        <v>42</v>
      </c>
      <c r="C73" s="64">
        <f t="shared" si="3"/>
        <v>1</v>
      </c>
      <c r="D73" s="64">
        <f t="shared" si="3"/>
        <v>1</v>
      </c>
      <c r="E73" s="64">
        <f t="shared" si="3"/>
        <v>2</v>
      </c>
      <c r="F73" s="64">
        <f t="shared" si="3"/>
        <v>0</v>
      </c>
      <c r="G73" s="64">
        <f t="shared" si="3"/>
        <v>2</v>
      </c>
      <c r="H73" s="64">
        <f t="shared" si="3"/>
        <v>1</v>
      </c>
      <c r="I73" s="64">
        <f t="shared" si="3"/>
        <v>0</v>
      </c>
      <c r="J73" s="64">
        <f t="shared" si="3"/>
        <v>0</v>
      </c>
      <c r="K73" s="64">
        <f t="shared" si="3"/>
        <v>1</v>
      </c>
      <c r="L73" s="64">
        <f t="shared" si="3"/>
        <v>0</v>
      </c>
      <c r="M73" s="64">
        <f t="shared" si="3"/>
        <v>1</v>
      </c>
      <c r="N73" s="64">
        <f t="shared" si="3"/>
        <v>1</v>
      </c>
      <c r="O73" s="3">
        <f t="shared" si="1"/>
        <v>10</v>
      </c>
      <c r="P73" s="1"/>
      <c r="Y73" s="1"/>
      <c r="AA73" s="1"/>
      <c r="AB73" s="4"/>
      <c r="AC73" s="4"/>
      <c r="AD73" s="4"/>
      <c r="AE73" s="1"/>
      <c r="AF73" s="1"/>
      <c r="AG73" s="1"/>
    </row>
    <row r="74" spans="1:33" s="3" customFormat="1" hidden="1">
      <c r="A74" s="19"/>
      <c r="B74" s="43" t="s">
        <v>245</v>
      </c>
      <c r="C74" s="9">
        <f t="shared" ref="C74:N74" si="4">SUM(C66:C73)</f>
        <v>8</v>
      </c>
      <c r="D74" s="9">
        <f t="shared" si="4"/>
        <v>7</v>
      </c>
      <c r="E74" s="9">
        <f t="shared" si="4"/>
        <v>7</v>
      </c>
      <c r="F74" s="9">
        <f t="shared" si="4"/>
        <v>8</v>
      </c>
      <c r="G74" s="9">
        <f t="shared" si="4"/>
        <v>6</v>
      </c>
      <c r="H74" s="9">
        <f t="shared" si="4"/>
        <v>5</v>
      </c>
      <c r="I74" s="9">
        <f t="shared" si="4"/>
        <v>7</v>
      </c>
      <c r="J74" s="9">
        <f t="shared" si="4"/>
        <v>6</v>
      </c>
      <c r="K74" s="9">
        <f t="shared" si="4"/>
        <v>7</v>
      </c>
      <c r="L74" s="9">
        <f t="shared" si="4"/>
        <v>6</v>
      </c>
      <c r="M74" s="9">
        <f t="shared" si="4"/>
        <v>7</v>
      </c>
      <c r="N74" s="9">
        <f t="shared" si="4"/>
        <v>7</v>
      </c>
      <c r="O74" s="3">
        <f t="shared" si="1"/>
        <v>81</v>
      </c>
      <c r="P74" s="1"/>
      <c r="Y74" s="1"/>
      <c r="AA74" s="1"/>
      <c r="AB74" s="4"/>
      <c r="AC74" s="4"/>
      <c r="AD74" s="4"/>
      <c r="AE74" s="1"/>
      <c r="AF74" s="1"/>
      <c r="AG74" s="1"/>
    </row>
    <row r="75" spans="1:33" s="3" customFormat="1" hidden="1">
      <c r="A75" s="49"/>
      <c r="B75" s="186" t="s">
        <v>181</v>
      </c>
      <c r="C75" s="187">
        <f t="shared" ref="C75:N78" si="5">COUNTIF(C$3:C$53,$B75)</f>
        <v>1</v>
      </c>
      <c r="D75" s="187">
        <f t="shared" si="5"/>
        <v>2</v>
      </c>
      <c r="E75" s="187">
        <f t="shared" si="5"/>
        <v>1</v>
      </c>
      <c r="F75" s="187">
        <f t="shared" si="5"/>
        <v>1</v>
      </c>
      <c r="G75" s="187">
        <f t="shared" si="5"/>
        <v>1</v>
      </c>
      <c r="H75" s="187">
        <f t="shared" si="5"/>
        <v>1</v>
      </c>
      <c r="I75" s="187">
        <f t="shared" si="5"/>
        <v>1</v>
      </c>
      <c r="J75" s="187">
        <f t="shared" si="5"/>
        <v>0</v>
      </c>
      <c r="K75" s="187">
        <f t="shared" si="5"/>
        <v>1</v>
      </c>
      <c r="L75" s="187">
        <f t="shared" si="5"/>
        <v>1</v>
      </c>
      <c r="M75" s="187">
        <f t="shared" si="5"/>
        <v>1</v>
      </c>
      <c r="N75" s="187">
        <f t="shared" si="5"/>
        <v>1</v>
      </c>
      <c r="O75" s="3">
        <f t="shared" si="1"/>
        <v>12</v>
      </c>
      <c r="P75" s="1"/>
      <c r="Y75" s="1"/>
      <c r="AA75" s="1"/>
      <c r="AB75" s="4"/>
      <c r="AC75" s="4"/>
      <c r="AD75" s="4"/>
      <c r="AE75" s="1"/>
      <c r="AF75" s="1"/>
      <c r="AG75" s="1"/>
    </row>
    <row r="76" spans="1:33" s="3" customFormat="1" hidden="1">
      <c r="A76" s="1"/>
      <c r="B76" s="53" t="s">
        <v>28</v>
      </c>
      <c r="C76" s="21">
        <f t="shared" si="5"/>
        <v>1</v>
      </c>
      <c r="D76" s="21">
        <f t="shared" si="5"/>
        <v>0</v>
      </c>
      <c r="E76" s="21">
        <f t="shared" si="5"/>
        <v>0</v>
      </c>
      <c r="F76" s="21">
        <f t="shared" si="5"/>
        <v>1</v>
      </c>
      <c r="G76" s="21">
        <f t="shared" si="5"/>
        <v>1</v>
      </c>
      <c r="H76" s="21">
        <f t="shared" si="5"/>
        <v>0</v>
      </c>
      <c r="I76" s="21">
        <f t="shared" si="5"/>
        <v>1</v>
      </c>
      <c r="J76" s="21">
        <f t="shared" si="5"/>
        <v>1</v>
      </c>
      <c r="K76" s="21">
        <f t="shared" si="5"/>
        <v>0</v>
      </c>
      <c r="L76" s="21">
        <f t="shared" si="5"/>
        <v>0</v>
      </c>
      <c r="M76" s="21">
        <f t="shared" si="5"/>
        <v>0</v>
      </c>
      <c r="N76" s="21">
        <f t="shared" si="5"/>
        <v>1</v>
      </c>
      <c r="O76" s="1">
        <f>SUM(C76:N76)</f>
        <v>6</v>
      </c>
      <c r="P76" s="55"/>
    </row>
    <row r="77" spans="1:33" s="3" customFormat="1" hidden="1">
      <c r="A77" s="50"/>
      <c r="B77" s="188" t="s">
        <v>128</v>
      </c>
      <c r="C77" s="183">
        <f t="shared" si="5"/>
        <v>1</v>
      </c>
      <c r="D77" s="183">
        <f t="shared" si="5"/>
        <v>3</v>
      </c>
      <c r="E77" s="183">
        <f t="shared" si="5"/>
        <v>4</v>
      </c>
      <c r="F77" s="183">
        <f t="shared" si="5"/>
        <v>1</v>
      </c>
      <c r="G77" s="183">
        <f t="shared" si="5"/>
        <v>1</v>
      </c>
      <c r="H77" s="183">
        <f t="shared" si="5"/>
        <v>1</v>
      </c>
      <c r="I77" s="183">
        <f t="shared" si="5"/>
        <v>1</v>
      </c>
      <c r="J77" s="183">
        <f t="shared" si="5"/>
        <v>1</v>
      </c>
      <c r="K77" s="183">
        <f t="shared" si="5"/>
        <v>1</v>
      </c>
      <c r="L77" s="183">
        <f t="shared" si="5"/>
        <v>2</v>
      </c>
      <c r="M77" s="183">
        <f t="shared" si="5"/>
        <v>1</v>
      </c>
      <c r="N77" s="183">
        <f t="shared" si="5"/>
        <v>1</v>
      </c>
      <c r="O77" s="3">
        <f t="shared" si="1"/>
        <v>18</v>
      </c>
      <c r="P77" s="1"/>
      <c r="Y77" s="1"/>
      <c r="AA77" s="1"/>
      <c r="AB77" s="4"/>
      <c r="AC77" s="4"/>
      <c r="AD77" s="4"/>
      <c r="AE77" s="1"/>
      <c r="AF77" s="1"/>
      <c r="AG77" s="1"/>
    </row>
    <row r="78" spans="1:33" s="3" customFormat="1" hidden="1">
      <c r="A78" s="1"/>
      <c r="B78" s="53" t="s">
        <v>63</v>
      </c>
      <c r="C78" s="21">
        <f t="shared" si="5"/>
        <v>0</v>
      </c>
      <c r="D78" s="21">
        <f t="shared" si="5"/>
        <v>0</v>
      </c>
      <c r="E78" s="21">
        <f t="shared" si="5"/>
        <v>0</v>
      </c>
      <c r="F78" s="21">
        <f t="shared" si="5"/>
        <v>1</v>
      </c>
      <c r="G78" s="21">
        <f t="shared" si="5"/>
        <v>0</v>
      </c>
      <c r="H78" s="21">
        <f t="shared" si="5"/>
        <v>0</v>
      </c>
      <c r="I78" s="21">
        <f t="shared" si="5"/>
        <v>1</v>
      </c>
      <c r="J78" s="21">
        <f t="shared" si="5"/>
        <v>1</v>
      </c>
      <c r="K78" s="21">
        <f t="shared" si="5"/>
        <v>0</v>
      </c>
      <c r="L78" s="21">
        <f t="shared" si="5"/>
        <v>0</v>
      </c>
      <c r="M78" s="21">
        <f t="shared" si="5"/>
        <v>1</v>
      </c>
      <c r="N78" s="21">
        <f t="shared" si="5"/>
        <v>0</v>
      </c>
      <c r="O78" s="1">
        <f>SUM(C78:N78)</f>
        <v>4</v>
      </c>
      <c r="P78" s="55"/>
      <c r="Y78" s="20"/>
      <c r="AA78" s="20"/>
      <c r="AB78" s="20"/>
      <c r="AC78" s="20"/>
    </row>
    <row r="79" spans="1:33" s="3" customFormat="1" hidden="1">
      <c r="A79" s="51"/>
      <c r="B79" s="189" t="s">
        <v>129</v>
      </c>
      <c r="C79" s="80">
        <f t="shared" ref="C79:N79" si="6">COUNTIF(C$3:C$53,$B79)+C80</f>
        <v>5</v>
      </c>
      <c r="D79" s="80">
        <f t="shared" si="6"/>
        <v>5</v>
      </c>
      <c r="E79" s="80">
        <f t="shared" si="6"/>
        <v>3</v>
      </c>
      <c r="F79" s="80">
        <f t="shared" si="6"/>
        <v>4</v>
      </c>
      <c r="G79" s="80">
        <f t="shared" si="6"/>
        <v>4</v>
      </c>
      <c r="H79" s="80">
        <f t="shared" si="6"/>
        <v>4</v>
      </c>
      <c r="I79" s="80">
        <f t="shared" si="6"/>
        <v>4</v>
      </c>
      <c r="J79" s="80">
        <f t="shared" si="6"/>
        <v>4</v>
      </c>
      <c r="K79" s="80">
        <f t="shared" si="6"/>
        <v>4</v>
      </c>
      <c r="L79" s="80">
        <f t="shared" si="6"/>
        <v>4</v>
      </c>
      <c r="M79" s="80">
        <f t="shared" si="6"/>
        <v>5</v>
      </c>
      <c r="N79" s="80">
        <f t="shared" si="6"/>
        <v>4</v>
      </c>
      <c r="O79" s="3">
        <f t="shared" si="1"/>
        <v>50</v>
      </c>
      <c r="P79" s="1"/>
      <c r="Y79" s="1"/>
      <c r="AA79" s="1"/>
      <c r="AB79" s="4"/>
      <c r="AC79" s="4"/>
      <c r="AD79" s="4"/>
      <c r="AE79" s="1"/>
      <c r="AF79" s="1"/>
      <c r="AG79" s="1"/>
    </row>
    <row r="80" spans="1:33" s="3" customFormat="1" hidden="1">
      <c r="A80" s="51"/>
      <c r="B80" s="53" t="s">
        <v>75</v>
      </c>
      <c r="C80" s="21">
        <f t="shared" ref="C80:N89" si="7">COUNTIF(C$3:C$53,$B80)</f>
        <v>0</v>
      </c>
      <c r="D80" s="21">
        <f t="shared" si="7"/>
        <v>0</v>
      </c>
      <c r="E80" s="21">
        <f t="shared" si="7"/>
        <v>0</v>
      </c>
      <c r="F80" s="21">
        <f t="shared" si="7"/>
        <v>0</v>
      </c>
      <c r="G80" s="21">
        <f t="shared" si="7"/>
        <v>0</v>
      </c>
      <c r="H80" s="21">
        <f t="shared" si="7"/>
        <v>0</v>
      </c>
      <c r="I80" s="21">
        <f t="shared" si="7"/>
        <v>0</v>
      </c>
      <c r="J80" s="21">
        <f t="shared" si="7"/>
        <v>1</v>
      </c>
      <c r="K80" s="21">
        <f t="shared" si="7"/>
        <v>1</v>
      </c>
      <c r="L80" s="21">
        <f t="shared" si="7"/>
        <v>0</v>
      </c>
      <c r="M80" s="21">
        <f t="shared" si="7"/>
        <v>0</v>
      </c>
      <c r="N80" s="21">
        <f t="shared" si="7"/>
        <v>1</v>
      </c>
      <c r="P80" s="1"/>
      <c r="Y80" s="1"/>
      <c r="AA80" s="1"/>
      <c r="AB80" s="4"/>
      <c r="AC80" s="4"/>
      <c r="AD80" s="4"/>
      <c r="AE80" s="1"/>
      <c r="AF80" s="1"/>
      <c r="AG80" s="1"/>
    </row>
    <row r="81" spans="1:33" s="3" customFormat="1" hidden="1">
      <c r="A81" s="1"/>
      <c r="B81" s="190" t="s">
        <v>127</v>
      </c>
      <c r="C81" s="11">
        <f t="shared" si="7"/>
        <v>3</v>
      </c>
      <c r="D81" s="11">
        <f t="shared" si="7"/>
        <v>3</v>
      </c>
      <c r="E81" s="11">
        <f t="shared" si="7"/>
        <v>1</v>
      </c>
      <c r="F81" s="11">
        <f t="shared" si="7"/>
        <v>3</v>
      </c>
      <c r="G81" s="11">
        <f t="shared" si="7"/>
        <v>3</v>
      </c>
      <c r="H81" s="11">
        <f t="shared" si="7"/>
        <v>4</v>
      </c>
      <c r="I81" s="11">
        <f t="shared" si="7"/>
        <v>0</v>
      </c>
      <c r="J81" s="11">
        <f t="shared" si="7"/>
        <v>1</v>
      </c>
      <c r="K81" s="11">
        <f t="shared" si="7"/>
        <v>3</v>
      </c>
      <c r="L81" s="11">
        <f t="shared" si="7"/>
        <v>0</v>
      </c>
      <c r="M81" s="11">
        <f t="shared" si="7"/>
        <v>0</v>
      </c>
      <c r="N81" s="11">
        <f t="shared" si="7"/>
        <v>0</v>
      </c>
      <c r="O81" s="3">
        <f t="shared" si="1"/>
        <v>21</v>
      </c>
      <c r="P81" s="1"/>
      <c r="Y81" s="1"/>
      <c r="AA81" s="1"/>
      <c r="AB81" s="4"/>
      <c r="AC81" s="4"/>
      <c r="AD81" s="4"/>
      <c r="AE81" s="1"/>
      <c r="AF81" s="1"/>
      <c r="AG81" s="1"/>
    </row>
    <row r="82" spans="1:33" s="3" customFormat="1" hidden="1">
      <c r="A82" s="1"/>
      <c r="B82" s="52" t="s">
        <v>17</v>
      </c>
      <c r="C82" s="28">
        <f t="shared" si="7"/>
        <v>3</v>
      </c>
      <c r="D82" s="28">
        <f t="shared" si="7"/>
        <v>3</v>
      </c>
      <c r="E82" s="28">
        <f t="shared" si="7"/>
        <v>3</v>
      </c>
      <c r="F82" s="28">
        <f t="shared" si="7"/>
        <v>3</v>
      </c>
      <c r="G82" s="28">
        <f t="shared" si="7"/>
        <v>3</v>
      </c>
      <c r="H82" s="28">
        <f t="shared" si="7"/>
        <v>3</v>
      </c>
      <c r="I82" s="28">
        <f t="shared" si="7"/>
        <v>3</v>
      </c>
      <c r="J82" s="28">
        <f t="shared" si="7"/>
        <v>4</v>
      </c>
      <c r="K82" s="28">
        <f t="shared" si="7"/>
        <v>3</v>
      </c>
      <c r="L82" s="28">
        <f t="shared" si="7"/>
        <v>4</v>
      </c>
      <c r="M82" s="28">
        <f t="shared" si="7"/>
        <v>3</v>
      </c>
      <c r="N82" s="28">
        <f t="shared" si="7"/>
        <v>4</v>
      </c>
      <c r="O82" s="3">
        <f t="shared" si="1"/>
        <v>39</v>
      </c>
      <c r="P82" s="1"/>
      <c r="Y82" s="1"/>
      <c r="AA82" s="1"/>
      <c r="AB82" s="4"/>
      <c r="AC82" s="4"/>
      <c r="AD82" s="4"/>
      <c r="AE82" s="1"/>
      <c r="AF82" s="1"/>
      <c r="AG82" s="1"/>
    </row>
    <row r="83" spans="1:33" s="3" customFormat="1" hidden="1">
      <c r="A83" s="19"/>
      <c r="B83" s="53" t="s">
        <v>43</v>
      </c>
      <c r="C83" s="21">
        <f t="shared" si="7"/>
        <v>1</v>
      </c>
      <c r="D83" s="21">
        <f t="shared" si="7"/>
        <v>1</v>
      </c>
      <c r="E83" s="21">
        <f t="shared" si="7"/>
        <v>1</v>
      </c>
      <c r="F83" s="21">
        <f t="shared" si="7"/>
        <v>1</v>
      </c>
      <c r="G83" s="21">
        <f t="shared" si="7"/>
        <v>1</v>
      </c>
      <c r="H83" s="21">
        <f t="shared" si="7"/>
        <v>1</v>
      </c>
      <c r="I83" s="21">
        <f t="shared" si="7"/>
        <v>1</v>
      </c>
      <c r="J83" s="21">
        <f t="shared" si="7"/>
        <v>1</v>
      </c>
      <c r="K83" s="21">
        <f t="shared" si="7"/>
        <v>0</v>
      </c>
      <c r="L83" s="21">
        <f t="shared" si="7"/>
        <v>0</v>
      </c>
      <c r="M83" s="21">
        <f t="shared" si="7"/>
        <v>1</v>
      </c>
      <c r="N83" s="21">
        <f t="shared" si="7"/>
        <v>1</v>
      </c>
      <c r="O83" s="3">
        <f t="shared" ref="O83:O98" si="8">SUM(C83:N83)</f>
        <v>10</v>
      </c>
      <c r="P83" s="1"/>
      <c r="Y83" s="1"/>
      <c r="AA83" s="1"/>
      <c r="AB83" s="4"/>
      <c r="AC83" s="4"/>
      <c r="AD83" s="4"/>
      <c r="AE83" s="1"/>
      <c r="AF83" s="1"/>
      <c r="AG83" s="1"/>
    </row>
    <row r="84" spans="1:33" s="3" customFormat="1" hidden="1">
      <c r="A84" s="1"/>
      <c r="B84" s="53" t="s">
        <v>116</v>
      </c>
      <c r="C84" s="21">
        <f t="shared" si="7"/>
        <v>1</v>
      </c>
      <c r="D84" s="21">
        <f t="shared" si="7"/>
        <v>1</v>
      </c>
      <c r="E84" s="21">
        <f t="shared" si="7"/>
        <v>1</v>
      </c>
      <c r="F84" s="21">
        <f t="shared" si="7"/>
        <v>1</v>
      </c>
      <c r="G84" s="21">
        <f t="shared" si="7"/>
        <v>1</v>
      </c>
      <c r="H84" s="21">
        <f t="shared" si="7"/>
        <v>0</v>
      </c>
      <c r="I84" s="21">
        <f t="shared" si="7"/>
        <v>0</v>
      </c>
      <c r="J84" s="21">
        <f t="shared" si="7"/>
        <v>0</v>
      </c>
      <c r="K84" s="21">
        <f t="shared" si="7"/>
        <v>0</v>
      </c>
      <c r="L84" s="21">
        <f t="shared" si="7"/>
        <v>0</v>
      </c>
      <c r="M84" s="21">
        <f t="shared" si="7"/>
        <v>0</v>
      </c>
      <c r="N84" s="21">
        <f t="shared" si="7"/>
        <v>0</v>
      </c>
      <c r="O84" s="3">
        <f t="shared" si="8"/>
        <v>5</v>
      </c>
      <c r="P84" s="1"/>
      <c r="Y84" s="1"/>
      <c r="AA84" s="1"/>
      <c r="AB84" s="4"/>
      <c r="AC84" s="4"/>
      <c r="AD84" s="4"/>
      <c r="AE84" s="1"/>
      <c r="AF84" s="1"/>
      <c r="AG84" s="1"/>
    </row>
    <row r="85" spans="1:33" s="3" customFormat="1" hidden="1">
      <c r="A85" s="1"/>
      <c r="B85" s="53" t="s">
        <v>22</v>
      </c>
      <c r="C85" s="21">
        <f t="shared" si="7"/>
        <v>2</v>
      </c>
      <c r="D85" s="21">
        <f t="shared" si="7"/>
        <v>2</v>
      </c>
      <c r="E85" s="21">
        <f t="shared" si="7"/>
        <v>2</v>
      </c>
      <c r="F85" s="21">
        <f t="shared" si="7"/>
        <v>2</v>
      </c>
      <c r="G85" s="21">
        <f t="shared" si="7"/>
        <v>2</v>
      </c>
      <c r="H85" s="21">
        <f t="shared" si="7"/>
        <v>2</v>
      </c>
      <c r="I85" s="21">
        <f t="shared" si="7"/>
        <v>2</v>
      </c>
      <c r="J85" s="21">
        <f t="shared" si="7"/>
        <v>2</v>
      </c>
      <c r="K85" s="21">
        <f t="shared" si="7"/>
        <v>3</v>
      </c>
      <c r="L85" s="21">
        <f t="shared" si="7"/>
        <v>2</v>
      </c>
      <c r="M85" s="21">
        <f t="shared" si="7"/>
        <v>2</v>
      </c>
      <c r="N85" s="21">
        <f t="shared" si="7"/>
        <v>2</v>
      </c>
      <c r="O85" s="3">
        <f t="shared" si="8"/>
        <v>25</v>
      </c>
      <c r="P85" s="1"/>
      <c r="Y85" s="1"/>
      <c r="AA85" s="1"/>
      <c r="AB85" s="4"/>
      <c r="AC85" s="4"/>
      <c r="AD85" s="4"/>
      <c r="AE85" s="1"/>
      <c r="AF85" s="1"/>
      <c r="AG85" s="1"/>
    </row>
    <row r="86" spans="1:33" s="1" customFormat="1" hidden="1">
      <c r="B86" s="53" t="s">
        <v>52</v>
      </c>
      <c r="C86" s="21">
        <f t="shared" si="7"/>
        <v>1</v>
      </c>
      <c r="D86" s="21">
        <f t="shared" si="7"/>
        <v>1</v>
      </c>
      <c r="E86" s="21">
        <f t="shared" si="7"/>
        <v>1</v>
      </c>
      <c r="F86" s="21">
        <f t="shared" si="7"/>
        <v>1</v>
      </c>
      <c r="G86" s="21">
        <f t="shared" si="7"/>
        <v>1</v>
      </c>
      <c r="H86" s="21">
        <f t="shared" si="7"/>
        <v>1</v>
      </c>
      <c r="I86" s="21">
        <f t="shared" si="7"/>
        <v>2</v>
      </c>
      <c r="J86" s="21">
        <f t="shared" si="7"/>
        <v>1</v>
      </c>
      <c r="K86" s="21">
        <f t="shared" si="7"/>
        <v>1</v>
      </c>
      <c r="L86" s="21">
        <f t="shared" si="7"/>
        <v>1</v>
      </c>
      <c r="M86" s="21">
        <f t="shared" si="7"/>
        <v>0</v>
      </c>
      <c r="N86" s="21">
        <f t="shared" si="7"/>
        <v>1</v>
      </c>
      <c r="O86" s="3">
        <f t="shared" si="8"/>
        <v>12</v>
      </c>
      <c r="P86" s="3"/>
      <c r="Q86" s="3"/>
      <c r="R86" s="3"/>
      <c r="S86" s="3"/>
      <c r="T86" s="3"/>
      <c r="U86" s="3"/>
      <c r="V86" s="3"/>
      <c r="W86" s="3"/>
      <c r="X86" s="3"/>
      <c r="Z86" s="3"/>
      <c r="AB86" s="4"/>
      <c r="AC86" s="4"/>
      <c r="AD86" s="4"/>
    </row>
    <row r="87" spans="1:33" s="3" customFormat="1" hidden="1">
      <c r="A87" s="1"/>
      <c r="B87" s="53" t="s">
        <v>64</v>
      </c>
      <c r="C87" s="21">
        <f t="shared" si="7"/>
        <v>1</v>
      </c>
      <c r="D87" s="21">
        <f t="shared" si="7"/>
        <v>1</v>
      </c>
      <c r="E87" s="21">
        <f t="shared" si="7"/>
        <v>1</v>
      </c>
      <c r="F87" s="21">
        <f t="shared" si="7"/>
        <v>1</v>
      </c>
      <c r="G87" s="21">
        <f t="shared" si="7"/>
        <v>1</v>
      </c>
      <c r="H87" s="21">
        <f t="shared" si="7"/>
        <v>1</v>
      </c>
      <c r="I87" s="21">
        <f t="shared" si="7"/>
        <v>1</v>
      </c>
      <c r="J87" s="21">
        <f t="shared" si="7"/>
        <v>1</v>
      </c>
      <c r="K87" s="21">
        <f t="shared" si="7"/>
        <v>1</v>
      </c>
      <c r="L87" s="21">
        <f t="shared" si="7"/>
        <v>1</v>
      </c>
      <c r="M87" s="21">
        <f t="shared" si="7"/>
        <v>1</v>
      </c>
      <c r="N87" s="21">
        <f t="shared" si="7"/>
        <v>1</v>
      </c>
      <c r="O87" s="3">
        <f t="shared" si="8"/>
        <v>12</v>
      </c>
      <c r="P87" s="1"/>
      <c r="Y87" s="1"/>
      <c r="Z87" s="172"/>
      <c r="AA87" s="1"/>
      <c r="AB87" s="4"/>
      <c r="AC87" s="4"/>
      <c r="AD87" s="4"/>
      <c r="AE87" s="1"/>
      <c r="AF87" s="1"/>
      <c r="AG87" s="1"/>
    </row>
    <row r="88" spans="1:33" s="3" customFormat="1" hidden="1">
      <c r="A88" s="1"/>
      <c r="B88" s="53" t="s">
        <v>27</v>
      </c>
      <c r="C88" s="21">
        <f t="shared" si="7"/>
        <v>1</v>
      </c>
      <c r="D88" s="21">
        <f t="shared" si="7"/>
        <v>1</v>
      </c>
      <c r="E88" s="21">
        <f t="shared" si="7"/>
        <v>2</v>
      </c>
      <c r="F88" s="21">
        <f t="shared" si="7"/>
        <v>1</v>
      </c>
      <c r="G88" s="21">
        <f t="shared" si="7"/>
        <v>1</v>
      </c>
      <c r="H88" s="21">
        <f t="shared" si="7"/>
        <v>1</v>
      </c>
      <c r="I88" s="21">
        <f t="shared" si="7"/>
        <v>1</v>
      </c>
      <c r="J88" s="21">
        <f t="shared" si="7"/>
        <v>1</v>
      </c>
      <c r="K88" s="21">
        <f t="shared" si="7"/>
        <v>1</v>
      </c>
      <c r="L88" s="21">
        <f t="shared" si="7"/>
        <v>1</v>
      </c>
      <c r="M88" s="21">
        <f t="shared" si="7"/>
        <v>1</v>
      </c>
      <c r="N88" s="21">
        <f t="shared" si="7"/>
        <v>1</v>
      </c>
      <c r="O88" s="3">
        <f t="shared" si="8"/>
        <v>13</v>
      </c>
      <c r="P88" s="1"/>
      <c r="Y88" s="1"/>
      <c r="AA88" s="1"/>
      <c r="AB88" s="4"/>
      <c r="AC88" s="4"/>
      <c r="AD88" s="4"/>
      <c r="AE88" s="1"/>
      <c r="AF88" s="1"/>
      <c r="AG88" s="1"/>
    </row>
    <row r="89" spans="1:33" s="3" customFormat="1" hidden="1">
      <c r="A89" s="1"/>
      <c r="B89" s="53" t="s">
        <v>102</v>
      </c>
      <c r="C89" s="21">
        <f t="shared" si="7"/>
        <v>1</v>
      </c>
      <c r="D89" s="21">
        <f t="shared" si="7"/>
        <v>1</v>
      </c>
      <c r="E89" s="21">
        <f t="shared" si="7"/>
        <v>1</v>
      </c>
      <c r="F89" s="21">
        <f t="shared" si="7"/>
        <v>1</v>
      </c>
      <c r="G89" s="21">
        <f t="shared" si="7"/>
        <v>1</v>
      </c>
      <c r="H89" s="21">
        <f t="shared" si="7"/>
        <v>1</v>
      </c>
      <c r="I89" s="21">
        <f t="shared" si="7"/>
        <v>1</v>
      </c>
      <c r="J89" s="21">
        <f t="shared" si="7"/>
        <v>1</v>
      </c>
      <c r="K89" s="21">
        <f t="shared" si="7"/>
        <v>1</v>
      </c>
      <c r="L89" s="21">
        <f t="shared" si="7"/>
        <v>1</v>
      </c>
      <c r="M89" s="21">
        <f t="shared" si="7"/>
        <v>1</v>
      </c>
      <c r="N89" s="21">
        <f t="shared" si="7"/>
        <v>1</v>
      </c>
      <c r="O89" s="3">
        <f t="shared" si="8"/>
        <v>12</v>
      </c>
      <c r="P89" s="1"/>
      <c r="Y89" s="1"/>
      <c r="AA89" s="1"/>
      <c r="AB89" s="1"/>
      <c r="AC89" s="1"/>
    </row>
    <row r="90" spans="1:33" s="3" customFormat="1" hidden="1">
      <c r="A90" s="1"/>
      <c r="B90" s="53" t="s">
        <v>210</v>
      </c>
      <c r="C90" s="21">
        <f t="shared" ref="C90:N97" si="9">COUNTIF(C$3:C$53,$B90)</f>
        <v>1</v>
      </c>
      <c r="D90" s="21">
        <f t="shared" si="9"/>
        <v>1</v>
      </c>
      <c r="E90" s="21">
        <f t="shared" si="9"/>
        <v>1</v>
      </c>
      <c r="F90" s="21">
        <f t="shared" si="9"/>
        <v>1</v>
      </c>
      <c r="G90" s="21">
        <f t="shared" si="9"/>
        <v>1</v>
      </c>
      <c r="H90" s="21">
        <f t="shared" si="9"/>
        <v>1</v>
      </c>
      <c r="I90" s="21">
        <f t="shared" si="9"/>
        <v>2</v>
      </c>
      <c r="J90" s="21">
        <f t="shared" si="9"/>
        <v>1</v>
      </c>
      <c r="K90" s="21">
        <f t="shared" si="9"/>
        <v>1</v>
      </c>
      <c r="L90" s="21">
        <f t="shared" si="9"/>
        <v>1</v>
      </c>
      <c r="M90" s="21">
        <f t="shared" si="9"/>
        <v>1</v>
      </c>
      <c r="N90" s="21">
        <f t="shared" si="9"/>
        <v>1</v>
      </c>
      <c r="O90" s="3">
        <f t="shared" si="8"/>
        <v>13</v>
      </c>
      <c r="P90" s="1"/>
      <c r="Y90" s="1"/>
      <c r="AA90" s="1"/>
      <c r="AB90" s="1"/>
      <c r="AC90" s="1"/>
    </row>
    <row r="91" spans="1:33" s="3" customFormat="1" hidden="1">
      <c r="A91" s="1"/>
      <c r="B91" s="53" t="s">
        <v>65</v>
      </c>
      <c r="C91" s="21">
        <f t="shared" si="9"/>
        <v>1</v>
      </c>
      <c r="D91" s="21">
        <f t="shared" si="9"/>
        <v>1</v>
      </c>
      <c r="E91" s="21">
        <f t="shared" si="9"/>
        <v>2</v>
      </c>
      <c r="F91" s="21">
        <f t="shared" si="9"/>
        <v>0</v>
      </c>
      <c r="G91" s="21">
        <f t="shared" si="9"/>
        <v>1</v>
      </c>
      <c r="H91" s="21">
        <f t="shared" si="9"/>
        <v>2</v>
      </c>
      <c r="I91" s="21">
        <f t="shared" si="9"/>
        <v>2</v>
      </c>
      <c r="J91" s="21">
        <f t="shared" si="9"/>
        <v>1</v>
      </c>
      <c r="K91" s="21">
        <f t="shared" si="9"/>
        <v>1</v>
      </c>
      <c r="L91" s="21">
        <f t="shared" si="9"/>
        <v>1</v>
      </c>
      <c r="M91" s="21">
        <f t="shared" si="9"/>
        <v>2</v>
      </c>
      <c r="N91" s="21">
        <f t="shared" si="9"/>
        <v>2</v>
      </c>
      <c r="O91" s="3">
        <f t="shared" si="8"/>
        <v>16</v>
      </c>
      <c r="P91" s="1"/>
      <c r="Y91" s="1"/>
      <c r="AA91" s="1"/>
      <c r="AB91" s="1"/>
      <c r="AC91" s="1"/>
    </row>
    <row r="92" spans="1:33" s="3" customFormat="1" hidden="1">
      <c r="A92" s="54"/>
      <c r="B92" s="53" t="s">
        <v>85</v>
      </c>
      <c r="C92" s="21">
        <f t="shared" si="9"/>
        <v>2</v>
      </c>
      <c r="D92" s="21">
        <f t="shared" si="9"/>
        <v>1</v>
      </c>
      <c r="E92" s="21">
        <f t="shared" si="9"/>
        <v>1</v>
      </c>
      <c r="F92" s="21">
        <f t="shared" si="9"/>
        <v>1</v>
      </c>
      <c r="G92" s="21">
        <f t="shared" si="9"/>
        <v>1</v>
      </c>
      <c r="H92" s="21">
        <f t="shared" si="9"/>
        <v>1</v>
      </c>
      <c r="I92" s="21">
        <f t="shared" si="9"/>
        <v>1</v>
      </c>
      <c r="J92" s="21">
        <f t="shared" si="9"/>
        <v>2</v>
      </c>
      <c r="K92" s="21">
        <f t="shared" si="9"/>
        <v>1</v>
      </c>
      <c r="L92" s="21">
        <f t="shared" si="9"/>
        <v>1</v>
      </c>
      <c r="M92" s="21">
        <f t="shared" si="9"/>
        <v>1</v>
      </c>
      <c r="N92" s="21">
        <f t="shared" si="9"/>
        <v>1</v>
      </c>
      <c r="O92" s="3">
        <f t="shared" si="8"/>
        <v>14</v>
      </c>
      <c r="P92" s="1"/>
      <c r="Y92" s="1"/>
      <c r="AA92" s="1"/>
      <c r="AB92" s="1"/>
      <c r="AC92" s="1"/>
    </row>
    <row r="93" spans="1:33" s="3" customFormat="1" hidden="1">
      <c r="A93" s="19"/>
      <c r="B93" s="53" t="s">
        <v>46</v>
      </c>
      <c r="C93" s="21">
        <f t="shared" si="9"/>
        <v>0</v>
      </c>
      <c r="D93" s="21">
        <f t="shared" si="9"/>
        <v>1</v>
      </c>
      <c r="E93" s="21">
        <f t="shared" si="9"/>
        <v>1</v>
      </c>
      <c r="F93" s="21">
        <f t="shared" si="9"/>
        <v>1</v>
      </c>
      <c r="G93" s="21">
        <f t="shared" si="9"/>
        <v>1</v>
      </c>
      <c r="H93" s="21">
        <f t="shared" si="9"/>
        <v>1</v>
      </c>
      <c r="I93" s="21">
        <f t="shared" si="9"/>
        <v>1</v>
      </c>
      <c r="J93" s="21">
        <f t="shared" si="9"/>
        <v>1</v>
      </c>
      <c r="K93" s="21">
        <f t="shared" si="9"/>
        <v>0</v>
      </c>
      <c r="L93" s="21">
        <f t="shared" si="9"/>
        <v>1</v>
      </c>
      <c r="M93" s="21">
        <f t="shared" si="9"/>
        <v>0</v>
      </c>
      <c r="N93" s="21">
        <f t="shared" si="9"/>
        <v>1</v>
      </c>
      <c r="O93" s="3">
        <f t="shared" si="8"/>
        <v>9</v>
      </c>
      <c r="P93" s="19"/>
      <c r="Y93" s="19"/>
      <c r="AA93" s="19"/>
      <c r="AB93" s="19"/>
      <c r="AC93" s="19"/>
    </row>
    <row r="94" spans="1:33" s="3" customFormat="1" hidden="1">
      <c r="A94" s="1"/>
      <c r="B94" s="53" t="s">
        <v>74</v>
      </c>
      <c r="C94" s="21">
        <f t="shared" si="9"/>
        <v>0</v>
      </c>
      <c r="D94" s="21">
        <f t="shared" si="9"/>
        <v>0</v>
      </c>
      <c r="E94" s="21">
        <f t="shared" si="9"/>
        <v>0</v>
      </c>
      <c r="F94" s="21">
        <f t="shared" si="9"/>
        <v>0</v>
      </c>
      <c r="G94" s="21">
        <f t="shared" si="9"/>
        <v>0</v>
      </c>
      <c r="H94" s="21">
        <f t="shared" si="9"/>
        <v>0</v>
      </c>
      <c r="I94" s="21">
        <f t="shared" si="9"/>
        <v>0</v>
      </c>
      <c r="J94" s="21">
        <f t="shared" si="9"/>
        <v>0</v>
      </c>
      <c r="K94" s="21">
        <f t="shared" si="9"/>
        <v>0</v>
      </c>
      <c r="L94" s="21">
        <f t="shared" si="9"/>
        <v>0</v>
      </c>
      <c r="M94" s="21">
        <f t="shared" si="9"/>
        <v>1</v>
      </c>
      <c r="N94" s="21">
        <f t="shared" si="9"/>
        <v>0</v>
      </c>
      <c r="O94" s="3">
        <f t="shared" si="8"/>
        <v>1</v>
      </c>
      <c r="P94" s="55"/>
      <c r="Y94" s="1"/>
      <c r="AA94" s="1"/>
      <c r="AB94" s="1"/>
      <c r="AC94" s="1"/>
    </row>
    <row r="95" spans="1:33" s="3" customFormat="1" hidden="1">
      <c r="A95" s="1"/>
      <c r="B95" s="53" t="s">
        <v>105</v>
      </c>
      <c r="C95" s="21">
        <f t="shared" si="9"/>
        <v>1</v>
      </c>
      <c r="D95" s="21">
        <f t="shared" si="9"/>
        <v>0</v>
      </c>
      <c r="E95" s="21">
        <f t="shared" si="9"/>
        <v>1</v>
      </c>
      <c r="F95" s="21">
        <f t="shared" si="9"/>
        <v>1</v>
      </c>
      <c r="G95" s="21">
        <f t="shared" si="9"/>
        <v>0</v>
      </c>
      <c r="H95" s="21">
        <f t="shared" si="9"/>
        <v>1</v>
      </c>
      <c r="I95" s="21">
        <f t="shared" si="9"/>
        <v>0</v>
      </c>
      <c r="J95" s="21">
        <f t="shared" si="9"/>
        <v>1</v>
      </c>
      <c r="K95" s="21">
        <f t="shared" si="9"/>
        <v>0</v>
      </c>
      <c r="L95" s="21">
        <f t="shared" si="9"/>
        <v>0</v>
      </c>
      <c r="M95" s="21">
        <f t="shared" si="9"/>
        <v>0</v>
      </c>
      <c r="N95" s="21">
        <f t="shared" si="9"/>
        <v>0</v>
      </c>
      <c r="O95" s="3">
        <f t="shared" si="8"/>
        <v>5</v>
      </c>
      <c r="P95" s="55"/>
      <c r="Y95" s="1"/>
      <c r="AA95" s="1"/>
      <c r="AB95" s="1"/>
      <c r="AC95" s="1"/>
    </row>
    <row r="96" spans="1:33" s="3" customFormat="1" hidden="1">
      <c r="A96" s="1"/>
      <c r="B96" s="53" t="s">
        <v>246</v>
      </c>
      <c r="C96" s="21">
        <f t="shared" si="9"/>
        <v>0</v>
      </c>
      <c r="D96" s="21">
        <f t="shared" si="9"/>
        <v>0</v>
      </c>
      <c r="E96" s="21">
        <f t="shared" si="9"/>
        <v>0</v>
      </c>
      <c r="F96" s="21">
        <f t="shared" si="9"/>
        <v>0</v>
      </c>
      <c r="G96" s="21">
        <f t="shared" si="9"/>
        <v>0</v>
      </c>
      <c r="H96" s="21">
        <f t="shared" si="9"/>
        <v>0</v>
      </c>
      <c r="I96" s="21">
        <f t="shared" si="9"/>
        <v>0</v>
      </c>
      <c r="J96" s="21">
        <f t="shared" si="9"/>
        <v>0</v>
      </c>
      <c r="K96" s="21">
        <f t="shared" si="9"/>
        <v>0</v>
      </c>
      <c r="L96" s="21">
        <f t="shared" si="9"/>
        <v>0</v>
      </c>
      <c r="M96" s="21">
        <f t="shared" si="9"/>
        <v>0</v>
      </c>
      <c r="N96" s="21">
        <f t="shared" si="9"/>
        <v>0</v>
      </c>
      <c r="O96" s="3">
        <f t="shared" si="8"/>
        <v>0</v>
      </c>
      <c r="P96" s="55"/>
      <c r="AA96" s="1"/>
      <c r="AB96" s="1"/>
      <c r="AC96" s="1"/>
    </row>
    <row r="97" spans="1:62" s="3" customFormat="1" hidden="1">
      <c r="A97" s="1"/>
      <c r="B97" s="53" t="s">
        <v>41</v>
      </c>
      <c r="C97" s="21">
        <f t="shared" si="9"/>
        <v>1</v>
      </c>
      <c r="D97" s="21">
        <f t="shared" si="9"/>
        <v>0</v>
      </c>
      <c r="E97" s="21">
        <f t="shared" si="9"/>
        <v>0</v>
      </c>
      <c r="F97" s="21">
        <f t="shared" si="9"/>
        <v>1</v>
      </c>
      <c r="G97" s="21">
        <f t="shared" si="9"/>
        <v>0</v>
      </c>
      <c r="H97" s="21">
        <f t="shared" si="9"/>
        <v>0</v>
      </c>
      <c r="I97" s="21">
        <f t="shared" si="9"/>
        <v>0</v>
      </c>
      <c r="J97" s="21">
        <f t="shared" si="9"/>
        <v>0</v>
      </c>
      <c r="K97" s="21">
        <f t="shared" si="9"/>
        <v>0</v>
      </c>
      <c r="L97" s="21">
        <f t="shared" si="9"/>
        <v>0</v>
      </c>
      <c r="M97" s="21">
        <f t="shared" si="9"/>
        <v>0</v>
      </c>
      <c r="N97" s="21">
        <f t="shared" si="9"/>
        <v>0</v>
      </c>
      <c r="O97" s="3">
        <f t="shared" si="8"/>
        <v>2</v>
      </c>
      <c r="P97" s="55"/>
      <c r="Y97" s="1"/>
    </row>
    <row r="98" spans="1:62" s="1" customFormat="1" hidden="1">
      <c r="B98" s="53" t="s">
        <v>247</v>
      </c>
      <c r="C98" s="191">
        <f t="shared" ref="C98:N98" si="10">SUM(C83:C97)+C76+C78+C80</f>
        <v>15</v>
      </c>
      <c r="D98" s="11">
        <f t="shared" si="10"/>
        <v>12</v>
      </c>
      <c r="E98" s="11">
        <f t="shared" si="10"/>
        <v>15</v>
      </c>
      <c r="F98" s="11">
        <f t="shared" si="10"/>
        <v>15</v>
      </c>
      <c r="G98" s="11">
        <f t="shared" si="10"/>
        <v>13</v>
      </c>
      <c r="H98" s="11">
        <f t="shared" si="10"/>
        <v>13</v>
      </c>
      <c r="I98" s="11">
        <f t="shared" si="10"/>
        <v>16</v>
      </c>
      <c r="J98" s="11">
        <f t="shared" si="10"/>
        <v>16</v>
      </c>
      <c r="K98" s="11">
        <f t="shared" si="10"/>
        <v>11</v>
      </c>
      <c r="L98" s="11">
        <f t="shared" si="10"/>
        <v>10</v>
      </c>
      <c r="M98" s="11">
        <f t="shared" si="10"/>
        <v>12</v>
      </c>
      <c r="N98" s="11">
        <f t="shared" si="10"/>
        <v>14</v>
      </c>
      <c r="O98" s="3">
        <f t="shared" si="8"/>
        <v>162</v>
      </c>
      <c r="Q98" s="3"/>
      <c r="R98" s="3"/>
      <c r="S98" s="3"/>
      <c r="T98" s="3"/>
      <c r="U98" s="3"/>
      <c r="V98" s="3"/>
      <c r="W98" s="3"/>
      <c r="X98" s="3"/>
      <c r="Z98" s="172"/>
      <c r="AB98" s="4"/>
      <c r="AC98" s="4"/>
      <c r="AD98" s="4"/>
    </row>
    <row r="99" spans="1:62" s="1" customFormat="1" hidden="1">
      <c r="B99" s="4"/>
      <c r="Q99" s="3"/>
      <c r="R99" s="3"/>
      <c r="S99" s="3"/>
      <c r="T99" s="3"/>
      <c r="U99" s="3"/>
      <c r="V99" s="3"/>
      <c r="W99" s="3"/>
      <c r="X99" s="3"/>
      <c r="Z99" s="172"/>
      <c r="AB99" s="4"/>
      <c r="AC99" s="4"/>
      <c r="AD99" s="4"/>
    </row>
    <row r="100" spans="1:62" s="3" customFormat="1" hidden="1">
      <c r="A100" s="1"/>
      <c r="P100" s="55"/>
      <c r="Y100" s="20"/>
      <c r="AA100" s="20"/>
      <c r="AB100" s="20"/>
      <c r="AC100" s="20"/>
    </row>
    <row r="101" spans="1:62" s="3" customFormat="1" hidden="1">
      <c r="A101" s="1"/>
      <c r="P101" s="55"/>
    </row>
    <row r="102" spans="1:62" s="3" customFormat="1" hidden="1">
      <c r="B102" s="47"/>
      <c r="P102" s="55"/>
    </row>
    <row r="103" spans="1:62" s="3" customFormat="1" hidden="1">
      <c r="B103" s="47"/>
      <c r="P103" s="55"/>
    </row>
    <row r="104" spans="1:62" s="3" customFormat="1" hidden="1">
      <c r="A104" s="1"/>
      <c r="B104" s="4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62">
      <c r="A105" s="3"/>
      <c r="B105" s="47"/>
      <c r="C105" s="3"/>
      <c r="D105" s="3"/>
      <c r="E105" s="3"/>
      <c r="F105" s="3"/>
      <c r="G105" s="3"/>
      <c r="H105" s="3"/>
      <c r="J105" s="3"/>
      <c r="K105" s="3"/>
      <c r="L105" s="3"/>
      <c r="M105" s="3"/>
      <c r="N105" s="3"/>
      <c r="O105" s="3"/>
      <c r="P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</row>
    <row r="106" spans="1:62">
      <c r="A106" s="710" t="s">
        <v>248</v>
      </c>
      <c r="B106" s="711"/>
      <c r="C106" s="711"/>
      <c r="D106" s="711"/>
      <c r="E106" s="711"/>
      <c r="F106" s="711"/>
      <c r="G106" s="711"/>
      <c r="H106" s="711"/>
      <c r="I106" s="711"/>
      <c r="J106" s="711"/>
      <c r="K106" s="711"/>
      <c r="L106" s="711"/>
      <c r="M106" s="711"/>
      <c r="N106" s="711"/>
      <c r="O106" s="56"/>
      <c r="P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</row>
    <row r="107" spans="1:62">
      <c r="A107" s="6" t="s">
        <v>1</v>
      </c>
      <c r="B107" s="11" t="s">
        <v>2</v>
      </c>
      <c r="C107" s="11">
        <v>11508</v>
      </c>
      <c r="D107" s="11">
        <v>11509</v>
      </c>
      <c r="E107" s="11">
        <v>11510</v>
      </c>
      <c r="F107" s="11">
        <v>11511</v>
      </c>
      <c r="G107" s="11">
        <v>11512</v>
      </c>
      <c r="H107" s="11">
        <v>11601</v>
      </c>
      <c r="I107" s="11">
        <v>11602</v>
      </c>
      <c r="J107" s="11">
        <v>11603</v>
      </c>
      <c r="K107" s="11">
        <v>11604</v>
      </c>
      <c r="L107" s="11">
        <v>11605</v>
      </c>
      <c r="M107" s="11">
        <v>11606</v>
      </c>
      <c r="N107" s="11">
        <v>11607</v>
      </c>
      <c r="O107" s="6" t="s">
        <v>3</v>
      </c>
      <c r="P107" s="3"/>
      <c r="Y107" s="3"/>
      <c r="Z107" s="3"/>
      <c r="AA107" s="57" t="s">
        <v>4</v>
      </c>
      <c r="AB107" s="57" t="s">
        <v>5</v>
      </c>
      <c r="AC107" s="57" t="s">
        <v>249</v>
      </c>
      <c r="AD107" s="57" t="s">
        <v>250</v>
      </c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</row>
    <row r="108" spans="1:62" s="3" customFormat="1">
      <c r="A108" s="58" t="s">
        <v>251</v>
      </c>
      <c r="B108" s="57" t="s">
        <v>252</v>
      </c>
      <c r="C108" s="59" t="s">
        <v>127</v>
      </c>
      <c r="D108" s="59" t="s">
        <v>127</v>
      </c>
      <c r="E108" s="11" t="s">
        <v>52</v>
      </c>
      <c r="F108" s="60" t="s">
        <v>128</v>
      </c>
      <c r="G108" s="11" t="s">
        <v>210</v>
      </c>
      <c r="H108" s="78" t="s">
        <v>61</v>
      </c>
      <c r="I108" s="78" t="s">
        <v>19</v>
      </c>
      <c r="J108" s="78" t="s">
        <v>137</v>
      </c>
      <c r="K108" s="9" t="s">
        <v>94</v>
      </c>
      <c r="L108" s="9" t="s">
        <v>42</v>
      </c>
      <c r="M108" s="61" t="s">
        <v>181</v>
      </c>
      <c r="N108" s="62" t="s">
        <v>25</v>
      </c>
      <c r="O108" s="11" t="s">
        <v>157</v>
      </c>
      <c r="P108" s="55"/>
      <c r="AA108" s="57" t="s">
        <v>253</v>
      </c>
      <c r="AB108" s="57" t="s">
        <v>254</v>
      </c>
      <c r="AC108" s="57" t="s">
        <v>201</v>
      </c>
      <c r="AD108" s="57" t="s">
        <v>255</v>
      </c>
    </row>
    <row r="109" spans="1:62">
      <c r="A109" s="58" t="s">
        <v>256</v>
      </c>
      <c r="B109" s="551" t="s">
        <v>257</v>
      </c>
      <c r="C109" s="59" t="s">
        <v>127</v>
      </c>
      <c r="D109" s="59" t="s">
        <v>127</v>
      </c>
      <c r="E109" s="61" t="s">
        <v>181</v>
      </c>
      <c r="F109" s="78" t="s">
        <v>137</v>
      </c>
      <c r="G109" s="78" t="s">
        <v>19</v>
      </c>
      <c r="H109" s="33" t="s">
        <v>229</v>
      </c>
      <c r="I109" s="57" t="s">
        <v>258</v>
      </c>
      <c r="J109" s="62" t="s">
        <v>25</v>
      </c>
      <c r="K109" s="60" t="s">
        <v>128</v>
      </c>
      <c r="L109" s="57" t="s">
        <v>259</v>
      </c>
      <c r="M109" s="9" t="s">
        <v>42</v>
      </c>
      <c r="N109" s="9" t="s">
        <v>94</v>
      </c>
      <c r="O109" s="11" t="s">
        <v>139</v>
      </c>
      <c r="P109" s="55"/>
      <c r="Y109" s="3"/>
      <c r="Z109" s="3"/>
      <c r="AA109" s="57" t="s">
        <v>260</v>
      </c>
      <c r="AB109" s="57" t="s">
        <v>258</v>
      </c>
      <c r="AC109" s="57" t="s">
        <v>254</v>
      </c>
      <c r="AD109" s="57" t="s">
        <v>201</v>
      </c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</row>
    <row r="110" spans="1:62" s="3" customFormat="1">
      <c r="A110" s="58" t="s">
        <v>261</v>
      </c>
      <c r="B110" s="551" t="s">
        <v>262</v>
      </c>
      <c r="C110" s="78" t="s">
        <v>137</v>
      </c>
      <c r="D110" s="78" t="s">
        <v>40</v>
      </c>
      <c r="E110" s="78" t="s">
        <v>19</v>
      </c>
      <c r="F110" s="11" t="s">
        <v>85</v>
      </c>
      <c r="G110" s="59" t="s">
        <v>127</v>
      </c>
      <c r="H110" s="59" t="s">
        <v>127</v>
      </c>
      <c r="I110" s="61" t="s">
        <v>181</v>
      </c>
      <c r="J110" s="60" t="s">
        <v>128</v>
      </c>
      <c r="K110" s="57" t="s">
        <v>255</v>
      </c>
      <c r="L110" s="62" t="s">
        <v>25</v>
      </c>
      <c r="M110" s="9" t="s">
        <v>143</v>
      </c>
      <c r="N110" s="9" t="s">
        <v>42</v>
      </c>
      <c r="O110" s="11" t="s">
        <v>263</v>
      </c>
      <c r="AA110" s="57" t="s">
        <v>264</v>
      </c>
      <c r="AB110" s="57" t="s">
        <v>55</v>
      </c>
      <c r="AC110" s="57" t="s">
        <v>265</v>
      </c>
      <c r="AD110" s="57" t="s">
        <v>201</v>
      </c>
    </row>
    <row r="111" spans="1:62" s="3" customFormat="1">
      <c r="A111" s="58" t="s">
        <v>266</v>
      </c>
      <c r="B111" s="551" t="s">
        <v>267</v>
      </c>
      <c r="C111" s="62" t="s">
        <v>25</v>
      </c>
      <c r="D111" s="57" t="s">
        <v>255</v>
      </c>
      <c r="E111" s="9" t="s">
        <v>143</v>
      </c>
      <c r="F111" s="9" t="s">
        <v>42</v>
      </c>
      <c r="G111" s="59" t="s">
        <v>127</v>
      </c>
      <c r="H111" s="59" t="s">
        <v>127</v>
      </c>
      <c r="I111" s="78" t="s">
        <v>19</v>
      </c>
      <c r="J111" s="78" t="s">
        <v>137</v>
      </c>
      <c r="K111" s="78" t="s">
        <v>39</v>
      </c>
      <c r="L111" s="57" t="s">
        <v>201</v>
      </c>
      <c r="M111" s="60" t="s">
        <v>128</v>
      </c>
      <c r="N111" s="61" t="s">
        <v>181</v>
      </c>
      <c r="O111" s="11" t="s">
        <v>263</v>
      </c>
      <c r="P111" s="55"/>
      <c r="Y111" s="1"/>
      <c r="AA111" s="57" t="s">
        <v>268</v>
      </c>
      <c r="AB111" s="57" t="s">
        <v>255</v>
      </c>
      <c r="AC111" s="57" t="s">
        <v>254</v>
      </c>
      <c r="AD111" s="57" t="s">
        <v>269</v>
      </c>
    </row>
    <row r="112" spans="1:62" s="3" customFormat="1">
      <c r="A112" s="58" t="s">
        <v>270</v>
      </c>
      <c r="B112" s="551" t="s">
        <v>271</v>
      </c>
      <c r="C112" s="60" t="s">
        <v>128</v>
      </c>
      <c r="D112" s="59" t="s">
        <v>127</v>
      </c>
      <c r="E112" s="59" t="s">
        <v>127</v>
      </c>
      <c r="F112" s="78" t="s">
        <v>137</v>
      </c>
      <c r="G112" s="18" t="s">
        <v>20</v>
      </c>
      <c r="H112" s="18" t="s">
        <v>19</v>
      </c>
      <c r="I112" s="61" t="s">
        <v>181</v>
      </c>
      <c r="J112" s="62" t="s">
        <v>25</v>
      </c>
      <c r="K112" s="57" t="s">
        <v>201</v>
      </c>
      <c r="L112" s="9" t="s">
        <v>94</v>
      </c>
      <c r="M112" s="9" t="s">
        <v>62</v>
      </c>
      <c r="N112" s="57" t="s">
        <v>272</v>
      </c>
      <c r="O112" s="11" t="s">
        <v>154</v>
      </c>
      <c r="P112" s="55"/>
      <c r="Y112" s="1"/>
      <c r="AA112" s="57" t="s">
        <v>273</v>
      </c>
      <c r="AB112" s="57" t="s">
        <v>201</v>
      </c>
      <c r="AC112" s="57" t="s">
        <v>255</v>
      </c>
      <c r="AD112" s="57" t="s">
        <v>254</v>
      </c>
    </row>
    <row r="113" spans="1:62" s="3" customFormat="1">
      <c r="A113" s="58" t="s">
        <v>274</v>
      </c>
      <c r="B113" s="551" t="s">
        <v>275</v>
      </c>
      <c r="C113" s="57" t="s">
        <v>54</v>
      </c>
      <c r="D113" s="11" t="s">
        <v>246</v>
      </c>
      <c r="E113" s="9" t="s">
        <v>94</v>
      </c>
      <c r="F113" s="9" t="s">
        <v>42</v>
      </c>
      <c r="G113" s="61" t="s">
        <v>181</v>
      </c>
      <c r="H113" s="62" t="s">
        <v>25</v>
      </c>
      <c r="I113" s="60" t="s">
        <v>128</v>
      </c>
      <c r="J113" s="59" t="s">
        <v>127</v>
      </c>
      <c r="K113" s="59" t="s">
        <v>127</v>
      </c>
      <c r="L113" s="78" t="s">
        <v>137</v>
      </c>
      <c r="M113" s="78" t="s">
        <v>39</v>
      </c>
      <c r="N113" s="78" t="s">
        <v>61</v>
      </c>
      <c r="O113" s="11" t="s">
        <v>162</v>
      </c>
      <c r="P113" s="55"/>
      <c r="Y113" s="1"/>
      <c r="AA113" s="57" t="s">
        <v>276</v>
      </c>
      <c r="AB113" s="57" t="s">
        <v>21</v>
      </c>
      <c r="AC113" s="57" t="s">
        <v>201</v>
      </c>
      <c r="AD113" s="57" t="s">
        <v>272</v>
      </c>
    </row>
    <row r="114" spans="1:62" s="3" customFormat="1">
      <c r="A114" s="58" t="s">
        <v>277</v>
      </c>
      <c r="B114" s="551" t="s">
        <v>278</v>
      </c>
      <c r="C114" s="78" t="s">
        <v>137</v>
      </c>
      <c r="D114" s="78" t="s">
        <v>19</v>
      </c>
      <c r="E114" s="78" t="s">
        <v>20</v>
      </c>
      <c r="F114" s="62" t="s">
        <v>25</v>
      </c>
      <c r="G114" s="57" t="s">
        <v>269</v>
      </c>
      <c r="H114" s="61" t="s">
        <v>181</v>
      </c>
      <c r="I114" s="57" t="s">
        <v>255</v>
      </c>
      <c r="J114" s="60" t="s">
        <v>128</v>
      </c>
      <c r="K114" s="59" t="s">
        <v>127</v>
      </c>
      <c r="L114" s="59" t="s">
        <v>127</v>
      </c>
      <c r="M114" s="9" t="s">
        <v>42</v>
      </c>
      <c r="N114" s="9" t="s">
        <v>143</v>
      </c>
      <c r="O114" s="11" t="s">
        <v>263</v>
      </c>
      <c r="P114" s="55"/>
      <c r="Y114" s="1"/>
      <c r="AA114" s="57" t="s">
        <v>279</v>
      </c>
      <c r="AB114" s="57" t="s">
        <v>280</v>
      </c>
      <c r="AC114" s="57" t="s">
        <v>255</v>
      </c>
      <c r="AD114" s="57" t="s">
        <v>265</v>
      </c>
    </row>
    <row r="115" spans="1:62" s="3" customFormat="1">
      <c r="A115" s="58" t="s">
        <v>281</v>
      </c>
      <c r="B115" s="551" t="s">
        <v>282</v>
      </c>
      <c r="C115" s="78" t="s">
        <v>39</v>
      </c>
      <c r="D115" s="78" t="s">
        <v>124</v>
      </c>
      <c r="E115" s="78" t="s">
        <v>137</v>
      </c>
      <c r="F115" s="11" t="s">
        <v>246</v>
      </c>
      <c r="G115" s="57" t="s">
        <v>201</v>
      </c>
      <c r="H115" s="62" t="s">
        <v>25</v>
      </c>
      <c r="I115" s="60" t="s">
        <v>128</v>
      </c>
      <c r="J115" s="61" t="s">
        <v>181</v>
      </c>
      <c r="K115" s="59" t="s">
        <v>127</v>
      </c>
      <c r="L115" s="59" t="s">
        <v>127</v>
      </c>
      <c r="M115" s="9" t="s">
        <v>62</v>
      </c>
      <c r="N115" s="9" t="s">
        <v>94</v>
      </c>
      <c r="O115" s="11" t="s">
        <v>263</v>
      </c>
      <c r="P115" s="55"/>
      <c r="Y115" s="1"/>
      <c r="AA115" s="57" t="s">
        <v>283</v>
      </c>
      <c r="AB115" s="57" t="s">
        <v>284</v>
      </c>
      <c r="AC115" s="57" t="s">
        <v>201</v>
      </c>
      <c r="AD115" s="57" t="s">
        <v>255</v>
      </c>
    </row>
    <row r="116" spans="1:62" s="3" customFormat="1">
      <c r="A116" s="58" t="s">
        <v>285</v>
      </c>
      <c r="B116" s="551" t="s">
        <v>264</v>
      </c>
      <c r="C116" s="78" t="s">
        <v>61</v>
      </c>
      <c r="D116" s="78" t="s">
        <v>137</v>
      </c>
      <c r="E116" s="78" t="s">
        <v>39</v>
      </c>
      <c r="F116" s="62" t="s">
        <v>25</v>
      </c>
      <c r="G116" s="61" t="s">
        <v>181</v>
      </c>
      <c r="H116" s="60" t="s">
        <v>128</v>
      </c>
      <c r="I116" s="57" t="s">
        <v>55</v>
      </c>
      <c r="J116" s="9" t="s">
        <v>42</v>
      </c>
      <c r="K116" s="63" t="s">
        <v>24</v>
      </c>
      <c r="L116" s="11" t="s">
        <v>65</v>
      </c>
      <c r="M116" s="59" t="s">
        <v>127</v>
      </c>
      <c r="N116" s="59" t="s">
        <v>127</v>
      </c>
      <c r="O116" s="11" t="s">
        <v>130</v>
      </c>
      <c r="P116" s="55"/>
      <c r="AA116" s="57" t="s">
        <v>286</v>
      </c>
      <c r="AB116" s="57" t="s">
        <v>254</v>
      </c>
      <c r="AC116" s="57" t="s">
        <v>255</v>
      </c>
      <c r="AD116" s="57" t="s">
        <v>201</v>
      </c>
    </row>
    <row r="117" spans="1:62" s="3" customFormat="1">
      <c r="A117" s="58" t="s">
        <v>287</v>
      </c>
      <c r="B117" s="551" t="s">
        <v>288</v>
      </c>
      <c r="C117" s="78" t="s">
        <v>20</v>
      </c>
      <c r="D117" s="78" t="s">
        <v>137</v>
      </c>
      <c r="E117" s="78" t="s">
        <v>61</v>
      </c>
      <c r="F117" s="11" t="s">
        <v>210</v>
      </c>
      <c r="G117" s="60" t="s">
        <v>128</v>
      </c>
      <c r="H117" s="61" t="s">
        <v>181</v>
      </c>
      <c r="I117" s="62" t="s">
        <v>25</v>
      </c>
      <c r="J117" s="57" t="s">
        <v>284</v>
      </c>
      <c r="K117" s="9" t="s">
        <v>42</v>
      </c>
      <c r="L117" s="9" t="s">
        <v>143</v>
      </c>
      <c r="M117" s="59" t="s">
        <v>127</v>
      </c>
      <c r="N117" s="59" t="s">
        <v>127</v>
      </c>
      <c r="O117" s="11" t="s">
        <v>130</v>
      </c>
      <c r="P117" s="1"/>
      <c r="Y117" s="1"/>
      <c r="AA117" s="57" t="s">
        <v>271</v>
      </c>
      <c r="AB117" s="57" t="s">
        <v>201</v>
      </c>
      <c r="AC117" s="57" t="s">
        <v>272</v>
      </c>
      <c r="AD117" s="57"/>
    </row>
    <row r="118" spans="1:62" s="3" customFormat="1">
      <c r="A118" s="58" t="s">
        <v>289</v>
      </c>
      <c r="B118" s="551" t="s">
        <v>290</v>
      </c>
      <c r="C118" s="61" t="s">
        <v>181</v>
      </c>
      <c r="D118" s="62" t="s">
        <v>25</v>
      </c>
      <c r="E118" s="57" t="s">
        <v>269</v>
      </c>
      <c r="F118" s="60" t="s">
        <v>128</v>
      </c>
      <c r="G118" s="59" t="s">
        <v>127</v>
      </c>
      <c r="H118" s="59" t="s">
        <v>127</v>
      </c>
      <c r="I118" s="9" t="s">
        <v>62</v>
      </c>
      <c r="J118" s="9" t="s">
        <v>42</v>
      </c>
      <c r="K118" s="57" t="s">
        <v>201</v>
      </c>
      <c r="L118" s="78" t="s">
        <v>137</v>
      </c>
      <c r="M118" s="78" t="s">
        <v>19</v>
      </c>
      <c r="N118" s="78" t="s">
        <v>61</v>
      </c>
      <c r="O118" s="11" t="s">
        <v>130</v>
      </c>
      <c r="Y118" s="1"/>
      <c r="AA118" s="57" t="s">
        <v>291</v>
      </c>
      <c r="AB118" s="57" t="s">
        <v>201</v>
      </c>
      <c r="AC118" s="57" t="s">
        <v>254</v>
      </c>
      <c r="AD118" s="57" t="s">
        <v>153</v>
      </c>
    </row>
    <row r="119" spans="1:62" s="3" customFormat="1">
      <c r="A119" s="58" t="s">
        <v>292</v>
      </c>
      <c r="B119" s="551" t="s">
        <v>293</v>
      </c>
      <c r="C119" s="63" t="s">
        <v>42</v>
      </c>
      <c r="D119" s="9" t="s">
        <v>62</v>
      </c>
      <c r="E119" s="62" t="s">
        <v>25</v>
      </c>
      <c r="F119" s="57" t="s">
        <v>255</v>
      </c>
      <c r="G119" s="59" t="s">
        <v>127</v>
      </c>
      <c r="H119" s="59" t="s">
        <v>127</v>
      </c>
      <c r="I119" s="18" t="s">
        <v>61</v>
      </c>
      <c r="J119" s="78" t="s">
        <v>19</v>
      </c>
      <c r="K119" s="78" t="s">
        <v>137</v>
      </c>
      <c r="L119" s="60" t="s">
        <v>128</v>
      </c>
      <c r="M119" s="57" t="s">
        <v>259</v>
      </c>
      <c r="N119" s="61" t="s">
        <v>181</v>
      </c>
      <c r="O119" s="11" t="s">
        <v>130</v>
      </c>
      <c r="P119" s="55"/>
      <c r="Y119" s="1"/>
      <c r="AA119" s="57" t="s">
        <v>294</v>
      </c>
      <c r="AB119" s="57" t="s">
        <v>295</v>
      </c>
      <c r="AC119" s="57" t="s">
        <v>296</v>
      </c>
      <c r="AD119" s="57" t="s">
        <v>259</v>
      </c>
    </row>
    <row r="120" spans="1:62" s="3" customFormat="1">
      <c r="A120" s="58" t="s">
        <v>297</v>
      </c>
      <c r="B120" s="551" t="s">
        <v>298</v>
      </c>
      <c r="C120" s="61" t="s">
        <v>181</v>
      </c>
      <c r="D120" s="57" t="s">
        <v>269</v>
      </c>
      <c r="E120" s="63" t="s">
        <v>143</v>
      </c>
      <c r="F120" s="9" t="s">
        <v>62</v>
      </c>
      <c r="G120" s="60" t="s">
        <v>128</v>
      </c>
      <c r="H120" s="57" t="s">
        <v>254</v>
      </c>
      <c r="I120" s="59" t="s">
        <v>127</v>
      </c>
      <c r="J120" s="59" t="s">
        <v>127</v>
      </c>
      <c r="K120" s="62" t="s">
        <v>25</v>
      </c>
      <c r="L120" s="78" t="s">
        <v>137</v>
      </c>
      <c r="M120" s="78" t="s">
        <v>20</v>
      </c>
      <c r="N120" s="78" t="s">
        <v>61</v>
      </c>
      <c r="O120" s="11" t="s">
        <v>130</v>
      </c>
      <c r="P120" s="55"/>
      <c r="Y120" s="1"/>
      <c r="AA120" s="57" t="s">
        <v>282</v>
      </c>
      <c r="AB120" s="57" t="s">
        <v>265</v>
      </c>
      <c r="AC120" s="57" t="s">
        <v>201</v>
      </c>
      <c r="AD120" s="57" t="s">
        <v>280</v>
      </c>
    </row>
    <row r="121" spans="1:62" s="3" customFormat="1">
      <c r="A121" s="58" t="s">
        <v>299</v>
      </c>
      <c r="B121" s="551" t="s">
        <v>1852</v>
      </c>
      <c r="C121" s="78" t="s">
        <v>19</v>
      </c>
      <c r="D121" s="78" t="s">
        <v>137</v>
      </c>
      <c r="E121" s="78" t="s">
        <v>124</v>
      </c>
      <c r="F121" s="57" t="s">
        <v>269</v>
      </c>
      <c r="G121" s="9" t="s">
        <v>143</v>
      </c>
      <c r="H121" s="63" t="s">
        <v>94</v>
      </c>
      <c r="I121" s="59" t="s">
        <v>127</v>
      </c>
      <c r="J121" s="59" t="s">
        <v>127</v>
      </c>
      <c r="K121" s="62" t="s">
        <v>25</v>
      </c>
      <c r="L121" s="61" t="s">
        <v>181</v>
      </c>
      <c r="M121" s="57" t="s">
        <v>201</v>
      </c>
      <c r="N121" s="60" t="s">
        <v>128</v>
      </c>
      <c r="O121" s="11" t="s">
        <v>130</v>
      </c>
      <c r="P121" s="55"/>
      <c r="Y121" s="1"/>
      <c r="AA121" s="57" t="s">
        <v>293</v>
      </c>
      <c r="AB121" s="57" t="s">
        <v>255</v>
      </c>
      <c r="AC121" s="57" t="s">
        <v>259</v>
      </c>
      <c r="AD121" s="57" t="s">
        <v>254</v>
      </c>
    </row>
    <row r="122" spans="1:62" s="3" customFormat="1">
      <c r="A122" s="58" t="s">
        <v>301</v>
      </c>
      <c r="B122" s="551" t="s">
        <v>260</v>
      </c>
      <c r="C122" s="63" t="s">
        <v>24</v>
      </c>
      <c r="D122" s="9" t="s">
        <v>42</v>
      </c>
      <c r="E122" s="57" t="s">
        <v>258</v>
      </c>
      <c r="F122" s="60" t="s">
        <v>128</v>
      </c>
      <c r="G122" s="78" t="s">
        <v>39</v>
      </c>
      <c r="H122" s="78" t="s">
        <v>19</v>
      </c>
      <c r="I122" s="78" t="s">
        <v>137</v>
      </c>
      <c r="J122" s="61" t="s">
        <v>181</v>
      </c>
      <c r="K122" s="59" t="s">
        <v>127</v>
      </c>
      <c r="L122" s="59" t="s">
        <v>127</v>
      </c>
      <c r="M122" s="62" t="s">
        <v>25</v>
      </c>
      <c r="N122" s="57" t="s">
        <v>254</v>
      </c>
      <c r="O122" s="11" t="s">
        <v>130</v>
      </c>
      <c r="P122" s="55"/>
      <c r="Y122" s="1"/>
      <c r="AA122" s="57" t="s">
        <v>252</v>
      </c>
      <c r="AB122" s="57" t="s">
        <v>255</v>
      </c>
      <c r="AC122" s="57" t="s">
        <v>302</v>
      </c>
      <c r="AD122" s="57" t="s">
        <v>254</v>
      </c>
    </row>
    <row r="123" spans="1:62" s="3" customFormat="1">
      <c r="A123" s="58" t="s">
        <v>303</v>
      </c>
      <c r="B123" s="551" t="s">
        <v>304</v>
      </c>
      <c r="C123" s="60" t="s">
        <v>128</v>
      </c>
      <c r="D123" s="11" t="s">
        <v>85</v>
      </c>
      <c r="E123" s="62" t="s">
        <v>25</v>
      </c>
      <c r="F123" s="78" t="s">
        <v>137</v>
      </c>
      <c r="G123" s="644" t="s">
        <v>124</v>
      </c>
      <c r="H123" s="78" t="s">
        <v>20</v>
      </c>
      <c r="I123" s="9" t="s">
        <v>143</v>
      </c>
      <c r="J123" s="9" t="s">
        <v>62</v>
      </c>
      <c r="K123" s="59" t="s">
        <v>127</v>
      </c>
      <c r="L123" s="59" t="s">
        <v>127</v>
      </c>
      <c r="M123" s="61" t="s">
        <v>181</v>
      </c>
      <c r="N123" s="57" t="s">
        <v>269</v>
      </c>
      <c r="O123" s="11" t="s">
        <v>130</v>
      </c>
      <c r="P123" s="55"/>
      <c r="Y123" s="1"/>
      <c r="AA123" s="57" t="s">
        <v>305</v>
      </c>
      <c r="AB123" s="57" t="s">
        <v>26</v>
      </c>
      <c r="AC123" s="57" t="s">
        <v>269</v>
      </c>
      <c r="AD123" s="57" t="s">
        <v>255</v>
      </c>
    </row>
    <row r="124" spans="1:62">
      <c r="A124" s="58" t="s">
        <v>306</v>
      </c>
      <c r="B124" s="551" t="s">
        <v>307</v>
      </c>
      <c r="C124" s="11" t="s">
        <v>74</v>
      </c>
      <c r="D124" s="60" t="s">
        <v>128</v>
      </c>
      <c r="E124" s="61" t="s">
        <v>181</v>
      </c>
      <c r="F124" s="78" t="s">
        <v>20</v>
      </c>
      <c r="G124" s="78" t="s">
        <v>137</v>
      </c>
      <c r="H124" s="78" t="s">
        <v>39</v>
      </c>
      <c r="I124" s="57" t="s">
        <v>269</v>
      </c>
      <c r="J124" s="62" t="s">
        <v>25</v>
      </c>
      <c r="K124" s="9" t="s">
        <v>62</v>
      </c>
      <c r="L124" s="63" t="s">
        <v>143</v>
      </c>
      <c r="M124" s="59" t="s">
        <v>127</v>
      </c>
      <c r="N124" s="59" t="s">
        <v>127</v>
      </c>
      <c r="O124" s="11" t="s">
        <v>139</v>
      </c>
      <c r="P124" s="3"/>
      <c r="Z124" s="3"/>
      <c r="AA124" s="57" t="s">
        <v>308</v>
      </c>
      <c r="AB124" s="57" t="s">
        <v>284</v>
      </c>
      <c r="AC124" s="57" t="s">
        <v>201</v>
      </c>
      <c r="AD124" s="57" t="s">
        <v>255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</row>
    <row r="125" spans="1:62">
      <c r="A125" s="58" t="s">
        <v>309</v>
      </c>
      <c r="B125" s="551" t="s">
        <v>310</v>
      </c>
      <c r="C125" s="9" t="s">
        <v>42</v>
      </c>
      <c r="D125" s="64" t="s">
        <v>23</v>
      </c>
      <c r="E125" s="11" t="s">
        <v>85</v>
      </c>
      <c r="F125" s="60" t="s">
        <v>128</v>
      </c>
      <c r="G125" s="62" t="s">
        <v>129</v>
      </c>
      <c r="H125" s="78" t="s">
        <v>124</v>
      </c>
      <c r="I125" s="78" t="s">
        <v>137</v>
      </c>
      <c r="J125" s="78" t="s">
        <v>20</v>
      </c>
      <c r="K125" s="61" t="s">
        <v>181</v>
      </c>
      <c r="L125" s="11" t="s">
        <v>65</v>
      </c>
      <c r="M125" s="59" t="s">
        <v>127</v>
      </c>
      <c r="N125" s="59" t="s">
        <v>127</v>
      </c>
      <c r="O125" s="11" t="s">
        <v>139</v>
      </c>
      <c r="P125" s="3"/>
      <c r="Z125" s="3"/>
      <c r="AA125" s="57" t="s">
        <v>298</v>
      </c>
      <c r="AB125" s="57" t="s">
        <v>269</v>
      </c>
      <c r="AC125" s="57" t="s">
        <v>254</v>
      </c>
      <c r="AD125" s="57" t="s">
        <v>153</v>
      </c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</row>
    <row r="126" spans="1:62" s="3" customFormat="1">
      <c r="A126" s="58" t="s">
        <v>311</v>
      </c>
      <c r="B126" s="552" t="s">
        <v>253</v>
      </c>
      <c r="C126" s="60" t="s">
        <v>128</v>
      </c>
      <c r="D126" s="30" t="s">
        <v>181</v>
      </c>
      <c r="E126" s="59" t="s">
        <v>127</v>
      </c>
      <c r="F126" s="59" t="s">
        <v>127</v>
      </c>
      <c r="G126" s="9" t="s">
        <v>94</v>
      </c>
      <c r="H126" s="9" t="s">
        <v>42</v>
      </c>
      <c r="I126" s="62" t="s">
        <v>25</v>
      </c>
      <c r="J126" s="78" t="s">
        <v>61</v>
      </c>
      <c r="K126" s="78" t="s">
        <v>137</v>
      </c>
      <c r="L126" s="78" t="s">
        <v>19</v>
      </c>
      <c r="M126" s="57" t="s">
        <v>254</v>
      </c>
      <c r="N126" s="57" t="s">
        <v>201</v>
      </c>
      <c r="O126" s="11" t="s">
        <v>1691</v>
      </c>
      <c r="Y126" s="1"/>
      <c r="AA126" s="57" t="s">
        <v>312</v>
      </c>
      <c r="AB126" s="57" t="s">
        <v>258</v>
      </c>
      <c r="AC126" s="57" t="s">
        <v>255</v>
      </c>
      <c r="AD126" s="57" t="s">
        <v>153</v>
      </c>
    </row>
    <row r="127" spans="1:62" s="3" customFormat="1">
      <c r="A127" s="58" t="s">
        <v>313</v>
      </c>
      <c r="B127" s="552" t="s">
        <v>273</v>
      </c>
      <c r="C127" s="11" t="s">
        <v>46</v>
      </c>
      <c r="D127" s="14" t="s">
        <v>201</v>
      </c>
      <c r="E127" s="59" t="s">
        <v>127</v>
      </c>
      <c r="F127" s="59" t="s">
        <v>127</v>
      </c>
      <c r="G127" s="63" t="s">
        <v>24</v>
      </c>
      <c r="H127" s="9" t="s">
        <v>143</v>
      </c>
      <c r="I127" s="62" t="s">
        <v>25</v>
      </c>
      <c r="J127" s="60" t="s">
        <v>128</v>
      </c>
      <c r="K127" s="61" t="s">
        <v>181</v>
      </c>
      <c r="L127" s="78" t="s">
        <v>61</v>
      </c>
      <c r="M127" s="78" t="s">
        <v>137</v>
      </c>
      <c r="N127" s="78" t="s">
        <v>39</v>
      </c>
      <c r="O127" s="11" t="s">
        <v>130</v>
      </c>
      <c r="P127" s="55"/>
      <c r="Y127" s="1"/>
      <c r="AA127" s="57" t="s">
        <v>257</v>
      </c>
      <c r="AB127" s="57" t="s">
        <v>258</v>
      </c>
      <c r="AC127" s="57" t="s">
        <v>259</v>
      </c>
      <c r="AD127" s="57" t="s">
        <v>254</v>
      </c>
    </row>
    <row r="128" spans="1:62" s="3" customFormat="1">
      <c r="A128" s="58" t="s">
        <v>314</v>
      </c>
      <c r="B128" s="552" t="s">
        <v>276</v>
      </c>
      <c r="C128" s="11" t="s">
        <v>22</v>
      </c>
      <c r="D128" s="27" t="s">
        <v>25</v>
      </c>
      <c r="E128" s="59" t="s">
        <v>127</v>
      </c>
      <c r="F128" s="59" t="s">
        <v>127</v>
      </c>
      <c r="G128" s="61" t="s">
        <v>181</v>
      </c>
      <c r="H128" s="60" t="s">
        <v>128</v>
      </c>
      <c r="I128" s="9" t="s">
        <v>42</v>
      </c>
      <c r="J128" s="9" t="s">
        <v>143</v>
      </c>
      <c r="K128" s="57" t="s">
        <v>21</v>
      </c>
      <c r="L128" s="78" t="s">
        <v>61</v>
      </c>
      <c r="M128" s="78" t="s">
        <v>137</v>
      </c>
      <c r="N128" s="192" t="s">
        <v>1685</v>
      </c>
      <c r="O128" s="11" t="s">
        <v>130</v>
      </c>
      <c r="Y128" s="1"/>
      <c r="AA128" s="57" t="s">
        <v>275</v>
      </c>
      <c r="AB128" s="57" t="s">
        <v>54</v>
      </c>
      <c r="AC128" s="57" t="s">
        <v>201</v>
      </c>
      <c r="AD128" s="57" t="s">
        <v>272</v>
      </c>
    </row>
    <row r="129" spans="1:62" s="3" customFormat="1">
      <c r="A129" s="58" t="s">
        <v>315</v>
      </c>
      <c r="B129" s="552" t="s">
        <v>312</v>
      </c>
      <c r="C129" s="9" t="s">
        <v>62</v>
      </c>
      <c r="D129" s="22" t="s">
        <v>42</v>
      </c>
      <c r="E129" s="59" t="s">
        <v>127</v>
      </c>
      <c r="F129" s="59" t="s">
        <v>127</v>
      </c>
      <c r="G129" s="57" t="s">
        <v>258</v>
      </c>
      <c r="H129" s="61" t="s">
        <v>181</v>
      </c>
      <c r="I129" s="78" t="s">
        <v>137</v>
      </c>
      <c r="J129" s="78" t="s">
        <v>61</v>
      </c>
      <c r="K129" s="78" t="s">
        <v>20</v>
      </c>
      <c r="L129" s="60" t="s">
        <v>128</v>
      </c>
      <c r="M129" s="57" t="s">
        <v>255</v>
      </c>
      <c r="N129" s="62" t="s">
        <v>25</v>
      </c>
      <c r="O129" s="11" t="s">
        <v>263</v>
      </c>
      <c r="Y129" s="1"/>
      <c r="AA129" s="57" t="s">
        <v>307</v>
      </c>
      <c r="AB129" s="57" t="s">
        <v>55</v>
      </c>
      <c r="AC129" s="57" t="s">
        <v>269</v>
      </c>
      <c r="AD129" s="57" t="s">
        <v>280</v>
      </c>
    </row>
    <row r="130" spans="1:62" s="3" customFormat="1">
      <c r="A130" s="58" t="s">
        <v>316</v>
      </c>
      <c r="B130" s="552" t="s">
        <v>1683</v>
      </c>
      <c r="C130" s="57" t="s">
        <v>201</v>
      </c>
      <c r="D130" s="26" t="s">
        <v>128</v>
      </c>
      <c r="E130" s="59" t="s">
        <v>127</v>
      </c>
      <c r="F130" s="59" t="s">
        <v>127</v>
      </c>
      <c r="G130" s="9" t="s">
        <v>42</v>
      </c>
      <c r="H130" s="9" t="s">
        <v>143</v>
      </c>
      <c r="I130" s="78" t="s">
        <v>20</v>
      </c>
      <c r="J130" s="18" t="s">
        <v>19</v>
      </c>
      <c r="K130" s="78" t="s">
        <v>137</v>
      </c>
      <c r="L130" s="61" t="s">
        <v>181</v>
      </c>
      <c r="M130" s="11" t="s">
        <v>22</v>
      </c>
      <c r="N130" s="62" t="s">
        <v>25</v>
      </c>
      <c r="O130" s="11" t="s">
        <v>157</v>
      </c>
      <c r="Y130" s="1"/>
      <c r="AA130" s="57" t="s">
        <v>288</v>
      </c>
      <c r="AB130" s="57" t="s">
        <v>201</v>
      </c>
      <c r="AC130" s="57" t="s">
        <v>284</v>
      </c>
      <c r="AD130" s="57" t="s">
        <v>255</v>
      </c>
    </row>
    <row r="131" spans="1:62" s="3" customFormat="1">
      <c r="A131" s="58" t="s">
        <v>318</v>
      </c>
      <c r="B131" s="551" t="s">
        <v>286</v>
      </c>
      <c r="C131" s="57" t="s">
        <v>254</v>
      </c>
      <c r="D131" s="27" t="s">
        <v>25</v>
      </c>
      <c r="E131" s="63" t="s">
        <v>24</v>
      </c>
      <c r="F131" s="9" t="s">
        <v>62</v>
      </c>
      <c r="G131" s="59" t="s">
        <v>127</v>
      </c>
      <c r="H131" s="59" t="s">
        <v>127</v>
      </c>
      <c r="I131" s="60" t="s">
        <v>128</v>
      </c>
      <c r="J131" s="61" t="s">
        <v>181</v>
      </c>
      <c r="K131" s="11" t="s">
        <v>65</v>
      </c>
      <c r="L131" s="78" t="s">
        <v>137</v>
      </c>
      <c r="M131" s="78" t="s">
        <v>61</v>
      </c>
      <c r="N131" s="78" t="s">
        <v>19</v>
      </c>
      <c r="O131" s="11" t="s">
        <v>176</v>
      </c>
      <c r="Y131" s="1"/>
      <c r="AA131" s="57" t="s">
        <v>304</v>
      </c>
      <c r="AB131" s="57" t="s">
        <v>201</v>
      </c>
      <c r="AC131" s="57" t="s">
        <v>269</v>
      </c>
      <c r="AD131" s="57" t="s">
        <v>272</v>
      </c>
    </row>
    <row r="132" spans="1:62">
      <c r="A132" s="58" t="s">
        <v>319</v>
      </c>
      <c r="B132" s="551" t="s">
        <v>320</v>
      </c>
      <c r="C132" s="61" t="s">
        <v>181</v>
      </c>
      <c r="D132" s="14" t="s">
        <v>259</v>
      </c>
      <c r="E132" s="60" t="s">
        <v>128</v>
      </c>
      <c r="F132" s="78" t="s">
        <v>61</v>
      </c>
      <c r="G132" s="78" t="s">
        <v>20</v>
      </c>
      <c r="H132" s="78" t="s">
        <v>137</v>
      </c>
      <c r="I132" s="59" t="s">
        <v>127</v>
      </c>
      <c r="J132" s="59" t="s">
        <v>127</v>
      </c>
      <c r="K132" s="11" t="s">
        <v>246</v>
      </c>
      <c r="L132" s="62" t="s">
        <v>25</v>
      </c>
      <c r="M132" s="9" t="s">
        <v>94</v>
      </c>
      <c r="N132" s="9" t="s">
        <v>62</v>
      </c>
      <c r="O132" s="11" t="s">
        <v>139</v>
      </c>
      <c r="P132" s="3"/>
      <c r="Z132" s="3"/>
      <c r="AA132" s="57" t="s">
        <v>317</v>
      </c>
      <c r="AB132" s="57" t="s">
        <v>201</v>
      </c>
      <c r="AC132" s="57" t="s">
        <v>153</v>
      </c>
      <c r="AD132" s="57" t="s">
        <v>255</v>
      </c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</row>
    <row r="133" spans="1:62" s="3" customFormat="1">
      <c r="A133" s="58" t="s">
        <v>321</v>
      </c>
      <c r="B133" s="551" t="s">
        <v>308</v>
      </c>
      <c r="C133" s="78" t="s">
        <v>137</v>
      </c>
      <c r="D133" s="8" t="s">
        <v>61</v>
      </c>
      <c r="E133" s="78" t="s">
        <v>19</v>
      </c>
      <c r="F133" s="57" t="s">
        <v>201</v>
      </c>
      <c r="G133" s="62" t="s">
        <v>25</v>
      </c>
      <c r="H133" s="60" t="s">
        <v>128</v>
      </c>
      <c r="I133" s="9" t="s">
        <v>42</v>
      </c>
      <c r="J133" s="9" t="s">
        <v>94</v>
      </c>
      <c r="K133" s="59" t="s">
        <v>127</v>
      </c>
      <c r="L133" s="59" t="s">
        <v>127</v>
      </c>
      <c r="M133" s="61" t="s">
        <v>181</v>
      </c>
      <c r="N133" s="57" t="s">
        <v>284</v>
      </c>
      <c r="O133" s="11" t="s">
        <v>157</v>
      </c>
      <c r="Y133" s="1"/>
      <c r="AA133" s="57" t="s">
        <v>310</v>
      </c>
      <c r="AB133" s="57" t="s">
        <v>201</v>
      </c>
      <c r="AC133" s="57" t="s">
        <v>254</v>
      </c>
      <c r="AD133" s="57" t="s">
        <v>255</v>
      </c>
    </row>
    <row r="134" spans="1:62" s="3" customFormat="1">
      <c r="A134" s="58" t="s">
        <v>322</v>
      </c>
      <c r="B134" s="551" t="s">
        <v>323</v>
      </c>
      <c r="C134" s="59" t="s">
        <v>127</v>
      </c>
      <c r="D134" s="25" t="s">
        <v>127</v>
      </c>
      <c r="E134" s="18" t="s">
        <v>39</v>
      </c>
      <c r="F134" s="78" t="s">
        <v>40</v>
      </c>
      <c r="G134" s="78" t="s">
        <v>137</v>
      </c>
      <c r="H134" s="9" t="s">
        <v>62</v>
      </c>
      <c r="I134" s="9" t="s">
        <v>42</v>
      </c>
      <c r="J134" s="57" t="s">
        <v>254</v>
      </c>
      <c r="K134" s="62" t="s">
        <v>25</v>
      </c>
      <c r="L134" s="11" t="s">
        <v>27</v>
      </c>
      <c r="M134" s="60" t="s">
        <v>128</v>
      </c>
      <c r="N134" s="61" t="s">
        <v>181</v>
      </c>
      <c r="O134" s="11" t="s">
        <v>130</v>
      </c>
      <c r="P134" s="1"/>
      <c r="Y134" s="1"/>
      <c r="AA134" s="57" t="s">
        <v>324</v>
      </c>
      <c r="AB134" s="57" t="s">
        <v>272</v>
      </c>
      <c r="AC134" s="57" t="s">
        <v>201</v>
      </c>
      <c r="AD134" s="57" t="s">
        <v>280</v>
      </c>
    </row>
    <row r="135" spans="1:62" s="3" customFormat="1">
      <c r="A135" s="58" t="s">
        <v>325</v>
      </c>
      <c r="B135" s="551" t="s">
        <v>1799</v>
      </c>
      <c r="C135" s="11" t="s">
        <v>246</v>
      </c>
      <c r="D135" s="5" t="s">
        <v>74</v>
      </c>
      <c r="E135" s="61" t="s">
        <v>181</v>
      </c>
      <c r="F135" s="62" t="s">
        <v>25</v>
      </c>
      <c r="G135" s="18" t="s">
        <v>61</v>
      </c>
      <c r="H135" s="78" t="s">
        <v>137</v>
      </c>
      <c r="I135" s="18" t="s">
        <v>39</v>
      </c>
      <c r="J135" s="60" t="s">
        <v>128</v>
      </c>
      <c r="K135" s="63" t="s">
        <v>24</v>
      </c>
      <c r="L135" s="9" t="s">
        <v>42</v>
      </c>
      <c r="M135" s="59" t="s">
        <v>127</v>
      </c>
      <c r="N135" s="59" t="s">
        <v>127</v>
      </c>
      <c r="O135" s="11" t="s">
        <v>157</v>
      </c>
      <c r="P135" s="1"/>
      <c r="Y135" s="1"/>
      <c r="AA135" s="57" t="s">
        <v>320</v>
      </c>
      <c r="AB135" s="57" t="s">
        <v>259</v>
      </c>
      <c r="AC135" s="57" t="s">
        <v>265</v>
      </c>
      <c r="AD135" s="57" t="s">
        <v>201</v>
      </c>
    </row>
    <row r="136" spans="1:62" s="1" customFormat="1">
      <c r="A136" s="58" t="s">
        <v>327</v>
      </c>
      <c r="B136" s="551" t="s">
        <v>328</v>
      </c>
      <c r="C136" s="61" t="s">
        <v>181</v>
      </c>
      <c r="D136" s="17" t="s">
        <v>62</v>
      </c>
      <c r="E136" s="63" t="s">
        <v>94</v>
      </c>
      <c r="F136" s="57" t="s">
        <v>201</v>
      </c>
      <c r="G136" s="59" t="s">
        <v>127</v>
      </c>
      <c r="H136" s="59" t="s">
        <v>127</v>
      </c>
      <c r="I136" s="78" t="s">
        <v>61</v>
      </c>
      <c r="J136" s="78" t="s">
        <v>137</v>
      </c>
      <c r="K136" s="192" t="s">
        <v>1685</v>
      </c>
      <c r="L136" s="61" t="s">
        <v>181</v>
      </c>
      <c r="M136" s="60" t="s">
        <v>128</v>
      </c>
      <c r="N136" s="11" t="s">
        <v>27</v>
      </c>
      <c r="O136" s="11" t="s">
        <v>157</v>
      </c>
      <c r="Q136" s="3"/>
      <c r="R136" s="3"/>
      <c r="S136" s="3"/>
      <c r="T136" s="3"/>
      <c r="Z136" s="3"/>
      <c r="AA136" s="57" t="s">
        <v>328</v>
      </c>
      <c r="AB136" s="57" t="s">
        <v>284</v>
      </c>
      <c r="AC136" s="57" t="s">
        <v>201</v>
      </c>
      <c r="AD136" s="57" t="s">
        <v>254</v>
      </c>
      <c r="AE136" s="3"/>
      <c r="AF136" s="3"/>
      <c r="AG136" s="3"/>
    </row>
    <row r="137" spans="1:62" s="1" customFormat="1">
      <c r="A137" s="58" t="s">
        <v>329</v>
      </c>
      <c r="B137" s="551" t="s">
        <v>268</v>
      </c>
      <c r="C137" s="57" t="s">
        <v>255</v>
      </c>
      <c r="D137" s="30" t="s">
        <v>181</v>
      </c>
      <c r="E137" s="62" t="s">
        <v>25</v>
      </c>
      <c r="F137" s="78" t="s">
        <v>20</v>
      </c>
      <c r="G137" s="78" t="s">
        <v>137</v>
      </c>
      <c r="H137" s="78" t="s">
        <v>19</v>
      </c>
      <c r="I137" s="59" t="s">
        <v>127</v>
      </c>
      <c r="J137" s="59" t="s">
        <v>127</v>
      </c>
      <c r="K137" s="9" t="s">
        <v>42</v>
      </c>
      <c r="L137" s="9" t="s">
        <v>94</v>
      </c>
      <c r="M137" s="11" t="s">
        <v>52</v>
      </c>
      <c r="N137" s="60" t="s">
        <v>128</v>
      </c>
      <c r="O137" s="11" t="s">
        <v>157</v>
      </c>
      <c r="Q137" s="3"/>
      <c r="R137" s="3"/>
      <c r="S137" s="3"/>
      <c r="T137" s="3"/>
      <c r="U137" s="3"/>
      <c r="V137" s="3"/>
      <c r="W137" s="3"/>
      <c r="X137" s="3"/>
      <c r="Z137" s="172"/>
      <c r="AA137" s="57" t="s">
        <v>290</v>
      </c>
      <c r="AB137" s="57" t="s">
        <v>269</v>
      </c>
      <c r="AC137" s="57" t="s">
        <v>201</v>
      </c>
      <c r="AD137" s="57" t="s">
        <v>284</v>
      </c>
    </row>
    <row r="138" spans="1:62" s="1" customFormat="1">
      <c r="A138" s="58" t="s">
        <v>330</v>
      </c>
      <c r="B138" s="551" t="s">
        <v>279</v>
      </c>
      <c r="C138" s="62" t="s">
        <v>25</v>
      </c>
      <c r="D138" s="5" t="s">
        <v>210</v>
      </c>
      <c r="E138" s="59" t="s">
        <v>127</v>
      </c>
      <c r="F138" s="59" t="s">
        <v>127</v>
      </c>
      <c r="G138" s="57" t="s">
        <v>255</v>
      </c>
      <c r="H138" s="60" t="s">
        <v>128</v>
      </c>
      <c r="I138" s="61" t="s">
        <v>181</v>
      </c>
      <c r="J138" s="9" t="s">
        <v>143</v>
      </c>
      <c r="K138" s="9" t="s">
        <v>94</v>
      </c>
      <c r="L138" s="18" t="s">
        <v>61</v>
      </c>
      <c r="M138" s="78" t="s">
        <v>137</v>
      </c>
      <c r="N138" s="78" t="s">
        <v>19</v>
      </c>
      <c r="O138" s="11" t="s">
        <v>176</v>
      </c>
      <c r="Q138" s="3"/>
      <c r="R138" s="3"/>
      <c r="S138" s="3"/>
      <c r="T138" s="3"/>
      <c r="U138" s="3"/>
      <c r="V138" s="3"/>
      <c r="W138" s="3"/>
      <c r="X138" s="3"/>
      <c r="Z138" s="172"/>
      <c r="AA138" s="57" t="s">
        <v>300</v>
      </c>
      <c r="AB138" s="57" t="s">
        <v>269</v>
      </c>
      <c r="AC138" s="57" t="s">
        <v>201</v>
      </c>
      <c r="AD138" s="57" t="s">
        <v>284</v>
      </c>
    </row>
    <row r="139" spans="1:62" s="1" customFormat="1">
      <c r="A139" s="58" t="s">
        <v>331</v>
      </c>
      <c r="B139" s="551" t="s">
        <v>324</v>
      </c>
      <c r="C139" s="60" t="s">
        <v>128</v>
      </c>
      <c r="D139" s="61" t="s">
        <v>181</v>
      </c>
      <c r="E139" s="59" t="s">
        <v>127</v>
      </c>
      <c r="F139" s="59" t="s">
        <v>127</v>
      </c>
      <c r="G139" s="9" t="s">
        <v>62</v>
      </c>
      <c r="H139" s="63" t="s">
        <v>94</v>
      </c>
      <c r="I139" s="18" t="s">
        <v>124</v>
      </c>
      <c r="J139" s="78" t="s">
        <v>137</v>
      </c>
      <c r="K139" s="78" t="s">
        <v>19</v>
      </c>
      <c r="L139" s="62" t="s">
        <v>25</v>
      </c>
      <c r="M139" s="57" t="s">
        <v>272</v>
      </c>
      <c r="N139" s="57" t="s">
        <v>201</v>
      </c>
      <c r="O139" s="11" t="s">
        <v>176</v>
      </c>
      <c r="Q139" s="3"/>
      <c r="R139" s="3"/>
      <c r="S139" s="3"/>
      <c r="T139" s="3"/>
      <c r="U139" s="3"/>
      <c r="V139" s="3"/>
      <c r="W139" s="3"/>
      <c r="X139" s="3"/>
      <c r="Z139" s="172"/>
      <c r="AA139" s="57" t="s">
        <v>323</v>
      </c>
      <c r="AB139" s="57" t="s">
        <v>255</v>
      </c>
      <c r="AC139" s="57" t="s">
        <v>254</v>
      </c>
      <c r="AD139" s="57" t="s">
        <v>269</v>
      </c>
    </row>
    <row r="140" spans="1:62" s="1" customFormat="1">
      <c r="A140" s="58" t="s">
        <v>332</v>
      </c>
      <c r="B140" s="551" t="s">
        <v>291</v>
      </c>
      <c r="C140" s="11" t="s">
        <v>52</v>
      </c>
      <c r="D140" s="59" t="s">
        <v>127</v>
      </c>
      <c r="E140" s="59" t="s">
        <v>127</v>
      </c>
      <c r="F140" s="61" t="s">
        <v>181</v>
      </c>
      <c r="G140" s="60" t="s">
        <v>128</v>
      </c>
      <c r="H140" s="62" t="s">
        <v>25</v>
      </c>
      <c r="I140" s="63" t="s">
        <v>94</v>
      </c>
      <c r="J140" s="9" t="s">
        <v>42</v>
      </c>
      <c r="K140" s="57" t="s">
        <v>254</v>
      </c>
      <c r="L140" s="78" t="s">
        <v>39</v>
      </c>
      <c r="M140" s="78" t="s">
        <v>20</v>
      </c>
      <c r="N140" s="78" t="s">
        <v>137</v>
      </c>
      <c r="O140" s="11" t="s">
        <v>186</v>
      </c>
      <c r="Q140" s="3"/>
      <c r="R140" s="3"/>
      <c r="S140" s="3"/>
      <c r="T140" s="3"/>
      <c r="U140" s="3"/>
      <c r="V140" s="3"/>
      <c r="W140" s="3"/>
      <c r="X140" s="3"/>
      <c r="Z140" s="172"/>
      <c r="AA140" s="57" t="s">
        <v>262</v>
      </c>
      <c r="AB140" s="57" t="s">
        <v>201</v>
      </c>
      <c r="AC140" s="57" t="s">
        <v>255</v>
      </c>
      <c r="AD140" s="57" t="s">
        <v>254</v>
      </c>
    </row>
    <row r="141" spans="1:62" s="1" customFormat="1">
      <c r="A141" s="58" t="s">
        <v>333</v>
      </c>
      <c r="B141" s="551" t="s">
        <v>305</v>
      </c>
      <c r="C141" s="63" t="s">
        <v>143</v>
      </c>
      <c r="D141" s="63" t="s">
        <v>24</v>
      </c>
      <c r="E141" s="11" t="s">
        <v>210</v>
      </c>
      <c r="F141" s="61" t="s">
        <v>181</v>
      </c>
      <c r="G141" s="59" t="s">
        <v>127</v>
      </c>
      <c r="H141" s="59" t="s">
        <v>127</v>
      </c>
      <c r="I141" s="62" t="s">
        <v>25</v>
      </c>
      <c r="J141" s="11" t="s">
        <v>65</v>
      </c>
      <c r="K141" s="60" t="s">
        <v>128</v>
      </c>
      <c r="L141" s="78" t="s">
        <v>19</v>
      </c>
      <c r="M141" s="192" t="s">
        <v>1685</v>
      </c>
      <c r="N141" s="78" t="s">
        <v>137</v>
      </c>
      <c r="O141" s="11" t="s">
        <v>176</v>
      </c>
      <c r="P141" s="3"/>
      <c r="Q141" s="3"/>
      <c r="R141" s="3"/>
      <c r="S141" s="3"/>
      <c r="T141" s="3"/>
      <c r="U141" s="3"/>
      <c r="V141" s="3"/>
      <c r="W141" s="3"/>
      <c r="X141" s="3"/>
      <c r="Z141" s="172"/>
      <c r="AA141" s="57" t="s">
        <v>267</v>
      </c>
      <c r="AB141" s="57" t="s">
        <v>255</v>
      </c>
      <c r="AC141" s="57" t="s">
        <v>201</v>
      </c>
      <c r="AD141" s="57" t="s">
        <v>254</v>
      </c>
    </row>
    <row r="142" spans="1:62" s="1" customFormat="1">
      <c r="A142" s="58" t="s">
        <v>334</v>
      </c>
      <c r="B142" s="551" t="s">
        <v>283</v>
      </c>
      <c r="C142" s="65"/>
      <c r="D142" s="65"/>
      <c r="E142" s="11" t="s">
        <v>105</v>
      </c>
      <c r="F142" s="9" t="s">
        <v>42</v>
      </c>
      <c r="G142" s="9" t="s">
        <v>94</v>
      </c>
      <c r="H142" s="11" t="s">
        <v>116</v>
      </c>
      <c r="I142" s="59" t="s">
        <v>127</v>
      </c>
      <c r="J142" s="59" t="s">
        <v>127</v>
      </c>
      <c r="K142" s="60" t="s">
        <v>128</v>
      </c>
      <c r="L142" s="78" t="s">
        <v>40</v>
      </c>
      <c r="M142" s="78" t="s">
        <v>39</v>
      </c>
      <c r="N142" s="78" t="s">
        <v>137</v>
      </c>
      <c r="O142" s="11" t="s">
        <v>157</v>
      </c>
      <c r="P142" s="61" t="s">
        <v>181</v>
      </c>
      <c r="Q142" s="62" t="s">
        <v>25</v>
      </c>
      <c r="R142" s="3"/>
      <c r="S142" s="3"/>
      <c r="T142" s="3"/>
      <c r="U142" s="3"/>
      <c r="V142" s="3"/>
      <c r="W142" s="3"/>
      <c r="X142" s="3"/>
      <c r="Z142" s="172"/>
      <c r="AA142" s="57" t="s">
        <v>278</v>
      </c>
      <c r="AB142" s="57" t="s">
        <v>269</v>
      </c>
      <c r="AC142" s="57" t="s">
        <v>255</v>
      </c>
      <c r="AD142" s="57" t="s">
        <v>280</v>
      </c>
    </row>
    <row r="143" spans="1:62" s="3" customFormat="1">
      <c r="A143" s="58" t="s">
        <v>335</v>
      </c>
      <c r="B143" s="551" t="s">
        <v>294</v>
      </c>
      <c r="C143" s="57" t="s">
        <v>336</v>
      </c>
      <c r="D143" s="78" t="s">
        <v>20</v>
      </c>
      <c r="E143" s="78" t="s">
        <v>137</v>
      </c>
      <c r="F143" s="78" t="s">
        <v>39</v>
      </c>
      <c r="G143" s="9" t="s">
        <v>62</v>
      </c>
      <c r="H143" s="64" t="s">
        <v>23</v>
      </c>
      <c r="I143" s="11" t="s">
        <v>41</v>
      </c>
      <c r="J143" s="61" t="s">
        <v>181</v>
      </c>
      <c r="K143" s="59" t="s">
        <v>127</v>
      </c>
      <c r="L143" s="59" t="s">
        <v>127</v>
      </c>
      <c r="M143" s="62" t="s">
        <v>25</v>
      </c>
      <c r="N143" s="60" t="s">
        <v>128</v>
      </c>
      <c r="O143" s="11" t="s">
        <v>337</v>
      </c>
      <c r="P143" s="55"/>
      <c r="Y143" s="1"/>
      <c r="AA143" s="57" t="s">
        <v>326</v>
      </c>
      <c r="AB143" s="57" t="s">
        <v>272</v>
      </c>
      <c r="AC143" s="57" t="s">
        <v>153</v>
      </c>
      <c r="AD143" s="57" t="s">
        <v>284</v>
      </c>
      <c r="AE143" s="1"/>
      <c r="AF143" s="1"/>
      <c r="AG143" s="1"/>
      <c r="AH143" s="1"/>
    </row>
    <row r="144" spans="1:6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</row>
    <row r="145" spans="1:6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</row>
    <row r="146" spans="1:62" ht="19.5" thickBot="1">
      <c r="A146" s="47"/>
      <c r="B146" s="47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47"/>
      <c r="P146" s="55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</row>
    <row r="147" spans="1:62" ht="19.5" thickBot="1">
      <c r="A147" s="712" t="s">
        <v>338</v>
      </c>
      <c r="B147" s="66" t="s">
        <v>339</v>
      </c>
      <c r="C147" s="67">
        <v>11508</v>
      </c>
      <c r="D147" s="68">
        <v>11509</v>
      </c>
      <c r="E147" s="68">
        <v>11510</v>
      </c>
      <c r="F147" s="68">
        <v>11511</v>
      </c>
      <c r="G147" s="68">
        <v>11512</v>
      </c>
      <c r="H147" s="68">
        <v>11601</v>
      </c>
      <c r="I147" s="68">
        <v>11602</v>
      </c>
      <c r="J147" s="68">
        <v>11603</v>
      </c>
      <c r="K147" s="68">
        <v>11604</v>
      </c>
      <c r="L147" s="68">
        <v>11605</v>
      </c>
      <c r="M147" s="68">
        <v>11606</v>
      </c>
      <c r="N147" s="69">
        <v>11607</v>
      </c>
      <c r="O147" s="3"/>
    </row>
    <row r="148" spans="1:62">
      <c r="A148" s="713"/>
      <c r="B148" s="70" t="s">
        <v>340</v>
      </c>
      <c r="C148" s="71"/>
      <c r="D148" s="72"/>
      <c r="E148" s="72" t="s">
        <v>341</v>
      </c>
      <c r="F148" s="72" t="s">
        <v>342</v>
      </c>
      <c r="G148" s="72"/>
      <c r="H148" s="72"/>
      <c r="I148" s="72" t="s">
        <v>343</v>
      </c>
      <c r="J148" s="72"/>
      <c r="K148" s="176"/>
      <c r="L148" s="72"/>
      <c r="M148" s="72"/>
      <c r="N148" s="73"/>
      <c r="O148" s="3"/>
    </row>
    <row r="149" spans="1:62" ht="19.5" thickBot="1">
      <c r="A149" s="714"/>
      <c r="B149" s="74" t="s">
        <v>124</v>
      </c>
      <c r="C149" s="75"/>
      <c r="D149" s="76"/>
      <c r="E149" s="77"/>
      <c r="F149" s="77"/>
      <c r="G149" s="77"/>
      <c r="H149" s="77"/>
      <c r="I149" s="77"/>
      <c r="J149" s="76"/>
      <c r="K149" s="76"/>
      <c r="L149" s="76"/>
      <c r="M149" s="76"/>
      <c r="N149" s="193"/>
      <c r="O149" s="3"/>
    </row>
    <row r="150" spans="1:62">
      <c r="A150" s="3"/>
      <c r="B150" s="47"/>
      <c r="D150" s="3"/>
      <c r="E150" s="20"/>
      <c r="F150" s="20"/>
      <c r="G150" s="3"/>
      <c r="I150" s="3"/>
      <c r="J150" s="3"/>
      <c r="K150" s="3"/>
      <c r="L150" s="20"/>
      <c r="M150" s="20"/>
      <c r="N150" s="20"/>
      <c r="O150" s="3"/>
    </row>
    <row r="151" spans="1:62">
      <c r="A151" s="3"/>
      <c r="B151" s="47"/>
      <c r="E151" s="20"/>
      <c r="F151" s="20"/>
      <c r="G151" s="3"/>
      <c r="H151" s="3"/>
      <c r="I151" s="3"/>
      <c r="J151" s="3"/>
      <c r="K151" s="3"/>
      <c r="M151" s="20"/>
      <c r="O151" s="3"/>
    </row>
    <row r="152" spans="1:62" hidden="1"/>
    <row r="153" spans="1:62" hidden="1">
      <c r="B153" s="42" t="s">
        <v>240</v>
      </c>
      <c r="C153" s="11">
        <v>11508</v>
      </c>
      <c r="D153" s="11">
        <v>11509</v>
      </c>
      <c r="E153" s="11">
        <v>11510</v>
      </c>
      <c r="F153" s="11">
        <v>11511</v>
      </c>
      <c r="G153" s="11">
        <v>11512</v>
      </c>
      <c r="H153" s="11">
        <v>11601</v>
      </c>
      <c r="I153" s="11">
        <v>11602</v>
      </c>
      <c r="J153" s="11">
        <v>11603</v>
      </c>
      <c r="K153" s="11">
        <v>11604</v>
      </c>
      <c r="L153" s="11">
        <v>11605</v>
      </c>
      <c r="M153" s="11">
        <v>11606</v>
      </c>
      <c r="N153" s="11">
        <v>11607</v>
      </c>
      <c r="O153" s="1" t="s">
        <v>241</v>
      </c>
    </row>
    <row r="154" spans="1:62" hidden="1">
      <c r="B154" s="185" t="s">
        <v>137</v>
      </c>
      <c r="C154" s="78">
        <f t="shared" ref="C154:N163" si="11">COUNTIF(C$3:C$149,$B154)</f>
        <v>4</v>
      </c>
      <c r="D154" s="78">
        <f t="shared" si="11"/>
        <v>4</v>
      </c>
      <c r="E154" s="78">
        <f t="shared" si="11"/>
        <v>4</v>
      </c>
      <c r="F154" s="78">
        <f t="shared" si="11"/>
        <v>4</v>
      </c>
      <c r="G154" s="78">
        <f t="shared" si="11"/>
        <v>4</v>
      </c>
      <c r="H154" s="78">
        <f t="shared" si="11"/>
        <v>4</v>
      </c>
      <c r="I154" s="78">
        <f t="shared" si="11"/>
        <v>4</v>
      </c>
      <c r="J154" s="78">
        <f t="shared" si="11"/>
        <v>4</v>
      </c>
      <c r="K154" s="78">
        <f t="shared" si="11"/>
        <v>3</v>
      </c>
      <c r="L154" s="78">
        <f t="shared" si="11"/>
        <v>4</v>
      </c>
      <c r="M154" s="78">
        <f t="shared" si="11"/>
        <v>3</v>
      </c>
      <c r="N154" s="78">
        <f t="shared" si="11"/>
        <v>3</v>
      </c>
      <c r="O154" s="1">
        <f t="shared" ref="O154:O167" si="12">SUM(C154:N154)</f>
        <v>45</v>
      </c>
    </row>
    <row r="155" spans="1:62" hidden="1">
      <c r="B155" s="185" t="s">
        <v>20</v>
      </c>
      <c r="C155" s="78">
        <f t="shared" si="11"/>
        <v>4</v>
      </c>
      <c r="D155" s="78">
        <f t="shared" si="11"/>
        <v>3</v>
      </c>
      <c r="E155" s="78">
        <f t="shared" si="11"/>
        <v>3</v>
      </c>
      <c r="F155" s="78">
        <f t="shared" si="11"/>
        <v>3</v>
      </c>
      <c r="G155" s="78">
        <f t="shared" si="11"/>
        <v>3</v>
      </c>
      <c r="H155" s="78">
        <f t="shared" si="11"/>
        <v>3</v>
      </c>
      <c r="I155" s="78">
        <f t="shared" si="11"/>
        <v>3</v>
      </c>
      <c r="J155" s="78">
        <f t="shared" si="11"/>
        <v>3</v>
      </c>
      <c r="K155" s="78">
        <f t="shared" si="11"/>
        <v>3</v>
      </c>
      <c r="L155" s="78">
        <f t="shared" si="11"/>
        <v>3</v>
      </c>
      <c r="M155" s="78">
        <f t="shared" si="11"/>
        <v>3</v>
      </c>
      <c r="N155" s="78">
        <f t="shared" si="11"/>
        <v>2</v>
      </c>
      <c r="O155" s="1">
        <f t="shared" si="12"/>
        <v>36</v>
      </c>
    </row>
    <row r="156" spans="1:62" hidden="1">
      <c r="B156" s="185" t="s">
        <v>19</v>
      </c>
      <c r="C156" s="78">
        <f t="shared" si="11"/>
        <v>4</v>
      </c>
      <c r="D156" s="78">
        <f t="shared" si="11"/>
        <v>4</v>
      </c>
      <c r="E156" s="78">
        <f t="shared" si="11"/>
        <v>4</v>
      </c>
      <c r="F156" s="78">
        <f t="shared" si="11"/>
        <v>4</v>
      </c>
      <c r="G156" s="78">
        <f t="shared" si="11"/>
        <v>3</v>
      </c>
      <c r="H156" s="78">
        <f t="shared" si="11"/>
        <v>4</v>
      </c>
      <c r="I156" s="78">
        <f t="shared" si="11"/>
        <v>4</v>
      </c>
      <c r="J156" s="78">
        <f t="shared" si="11"/>
        <v>3</v>
      </c>
      <c r="K156" s="78">
        <f t="shared" si="11"/>
        <v>2</v>
      </c>
      <c r="L156" s="78">
        <f t="shared" si="11"/>
        <v>4</v>
      </c>
      <c r="M156" s="78">
        <f t="shared" si="11"/>
        <v>3</v>
      </c>
      <c r="N156" s="78">
        <f t="shared" si="11"/>
        <v>4</v>
      </c>
      <c r="O156" s="1">
        <f t="shared" si="12"/>
        <v>43</v>
      </c>
    </row>
    <row r="157" spans="1:62" hidden="1">
      <c r="B157" s="185" t="s">
        <v>61</v>
      </c>
      <c r="C157" s="78">
        <f t="shared" si="11"/>
        <v>3</v>
      </c>
      <c r="D157" s="78">
        <f t="shared" si="11"/>
        <v>3</v>
      </c>
      <c r="E157" s="78">
        <f t="shared" si="11"/>
        <v>4</v>
      </c>
      <c r="F157" s="78">
        <f t="shared" si="11"/>
        <v>3</v>
      </c>
      <c r="G157" s="78">
        <f t="shared" si="11"/>
        <v>3</v>
      </c>
      <c r="H157" s="78">
        <f t="shared" si="11"/>
        <v>3</v>
      </c>
      <c r="I157" s="78">
        <f t="shared" si="11"/>
        <v>3</v>
      </c>
      <c r="J157" s="78">
        <f t="shared" si="11"/>
        <v>3</v>
      </c>
      <c r="K157" s="78">
        <f t="shared" si="11"/>
        <v>2</v>
      </c>
      <c r="L157" s="78">
        <f t="shared" si="11"/>
        <v>4</v>
      </c>
      <c r="M157" s="78">
        <f t="shared" si="11"/>
        <v>3</v>
      </c>
      <c r="N157" s="78">
        <f t="shared" si="11"/>
        <v>3</v>
      </c>
      <c r="O157" s="1">
        <f t="shared" si="12"/>
        <v>37</v>
      </c>
    </row>
    <row r="158" spans="1:62" hidden="1">
      <c r="B158" s="185" t="s">
        <v>166</v>
      </c>
      <c r="C158" s="78">
        <f t="shared" si="11"/>
        <v>0</v>
      </c>
      <c r="D158" s="78">
        <f t="shared" si="11"/>
        <v>0</v>
      </c>
      <c r="E158" s="78">
        <f t="shared" si="11"/>
        <v>1</v>
      </c>
      <c r="F158" s="78">
        <f t="shared" si="11"/>
        <v>1</v>
      </c>
      <c r="G158" s="78">
        <f t="shared" si="11"/>
        <v>1</v>
      </c>
      <c r="H158" s="78">
        <f t="shared" si="11"/>
        <v>1</v>
      </c>
      <c r="I158" s="78">
        <f t="shared" si="11"/>
        <v>1</v>
      </c>
      <c r="J158" s="78">
        <f t="shared" si="11"/>
        <v>0</v>
      </c>
      <c r="K158" s="78">
        <f t="shared" si="11"/>
        <v>0</v>
      </c>
      <c r="L158" s="78">
        <f t="shared" si="11"/>
        <v>2</v>
      </c>
      <c r="M158" s="78">
        <f t="shared" si="11"/>
        <v>1</v>
      </c>
      <c r="N158" s="78">
        <f t="shared" si="11"/>
        <v>1</v>
      </c>
      <c r="O158" s="1">
        <f t="shared" si="12"/>
        <v>9</v>
      </c>
    </row>
    <row r="159" spans="1:62" hidden="1">
      <c r="B159" s="185" t="s">
        <v>39</v>
      </c>
      <c r="C159" s="78">
        <f t="shared" si="11"/>
        <v>3</v>
      </c>
      <c r="D159" s="78">
        <f t="shared" si="11"/>
        <v>3</v>
      </c>
      <c r="E159" s="78">
        <f t="shared" si="11"/>
        <v>3</v>
      </c>
      <c r="F159" s="78">
        <f t="shared" si="11"/>
        <v>2</v>
      </c>
      <c r="G159" s="78">
        <f t="shared" si="11"/>
        <v>3</v>
      </c>
      <c r="H159" s="78">
        <f t="shared" si="11"/>
        <v>3</v>
      </c>
      <c r="I159" s="78">
        <f t="shared" si="11"/>
        <v>3</v>
      </c>
      <c r="J159" s="78">
        <f t="shared" si="11"/>
        <v>3</v>
      </c>
      <c r="K159" s="78">
        <f t="shared" si="11"/>
        <v>2</v>
      </c>
      <c r="L159" s="78">
        <f t="shared" si="11"/>
        <v>3</v>
      </c>
      <c r="M159" s="78">
        <f t="shared" si="11"/>
        <v>3</v>
      </c>
      <c r="N159" s="78">
        <f t="shared" si="11"/>
        <v>2</v>
      </c>
      <c r="O159" s="1">
        <f t="shared" si="12"/>
        <v>33</v>
      </c>
    </row>
    <row r="160" spans="1:62" hidden="1">
      <c r="B160" s="185" t="s">
        <v>40</v>
      </c>
      <c r="C160" s="78">
        <f t="shared" si="11"/>
        <v>2</v>
      </c>
      <c r="D160" s="78">
        <f t="shared" si="11"/>
        <v>2</v>
      </c>
      <c r="E160" s="78">
        <f t="shared" si="11"/>
        <v>2</v>
      </c>
      <c r="F160" s="78">
        <f t="shared" si="11"/>
        <v>2</v>
      </c>
      <c r="G160" s="78">
        <f t="shared" si="11"/>
        <v>2</v>
      </c>
      <c r="H160" s="78">
        <f t="shared" si="11"/>
        <v>1</v>
      </c>
      <c r="I160" s="78">
        <f t="shared" si="11"/>
        <v>1</v>
      </c>
      <c r="J160" s="78">
        <f t="shared" si="11"/>
        <v>1</v>
      </c>
      <c r="K160" s="78">
        <f t="shared" si="11"/>
        <v>2</v>
      </c>
      <c r="L160" s="78">
        <f t="shared" si="11"/>
        <v>1</v>
      </c>
      <c r="M160" s="78">
        <f t="shared" si="11"/>
        <v>1</v>
      </c>
      <c r="N160" s="78">
        <f t="shared" si="11"/>
        <v>2</v>
      </c>
      <c r="O160" s="1">
        <f t="shared" si="12"/>
        <v>19</v>
      </c>
    </row>
    <row r="161" spans="1:15" hidden="1">
      <c r="B161" s="185" t="s">
        <v>18</v>
      </c>
      <c r="C161" s="78">
        <f t="shared" si="11"/>
        <v>1</v>
      </c>
      <c r="D161" s="78">
        <f t="shared" si="11"/>
        <v>2</v>
      </c>
      <c r="E161" s="78">
        <f t="shared" si="11"/>
        <v>2</v>
      </c>
      <c r="F161" s="78">
        <f t="shared" si="11"/>
        <v>2</v>
      </c>
      <c r="G161" s="78">
        <f t="shared" si="11"/>
        <v>1</v>
      </c>
      <c r="H161" s="78">
        <f t="shared" si="11"/>
        <v>2</v>
      </c>
      <c r="I161" s="78">
        <f t="shared" si="11"/>
        <v>1</v>
      </c>
      <c r="J161" s="78">
        <f t="shared" si="11"/>
        <v>1</v>
      </c>
      <c r="K161" s="78">
        <f t="shared" si="11"/>
        <v>2</v>
      </c>
      <c r="L161" s="78">
        <f t="shared" si="11"/>
        <v>2</v>
      </c>
      <c r="M161" s="78">
        <f t="shared" si="11"/>
        <v>2</v>
      </c>
      <c r="N161" s="78">
        <f t="shared" si="11"/>
        <v>1</v>
      </c>
      <c r="O161" s="1">
        <f t="shared" si="12"/>
        <v>19</v>
      </c>
    </row>
    <row r="162" spans="1:15" hidden="1">
      <c r="B162" s="185" t="s">
        <v>124</v>
      </c>
      <c r="C162" s="78">
        <f t="shared" si="11"/>
        <v>1</v>
      </c>
      <c r="D162" s="78">
        <f t="shared" si="11"/>
        <v>1</v>
      </c>
      <c r="E162" s="78">
        <f t="shared" si="11"/>
        <v>1</v>
      </c>
      <c r="F162" s="78">
        <f t="shared" si="11"/>
        <v>0</v>
      </c>
      <c r="G162" s="78">
        <f t="shared" si="11"/>
        <v>1</v>
      </c>
      <c r="H162" s="78">
        <f t="shared" si="11"/>
        <v>1</v>
      </c>
      <c r="I162" s="78">
        <f t="shared" si="11"/>
        <v>1</v>
      </c>
      <c r="J162" s="78">
        <f t="shared" si="11"/>
        <v>0</v>
      </c>
      <c r="K162" s="78">
        <f t="shared" si="11"/>
        <v>1</v>
      </c>
      <c r="L162" s="78">
        <f t="shared" si="11"/>
        <v>0</v>
      </c>
      <c r="M162" s="78">
        <f t="shared" si="11"/>
        <v>1</v>
      </c>
      <c r="N162" s="78">
        <f t="shared" si="11"/>
        <v>1</v>
      </c>
      <c r="O162" s="1">
        <f t="shared" si="12"/>
        <v>9</v>
      </c>
    </row>
    <row r="163" spans="1:15" hidden="1">
      <c r="B163" s="53" t="s">
        <v>46</v>
      </c>
      <c r="C163" s="21">
        <f t="shared" si="11"/>
        <v>1</v>
      </c>
      <c r="D163" s="21">
        <f t="shared" si="11"/>
        <v>1</v>
      </c>
      <c r="E163" s="21">
        <f t="shared" si="11"/>
        <v>1</v>
      </c>
      <c r="F163" s="21">
        <f t="shared" si="11"/>
        <v>1</v>
      </c>
      <c r="G163" s="21">
        <f t="shared" si="11"/>
        <v>1</v>
      </c>
      <c r="H163" s="21">
        <f t="shared" si="11"/>
        <v>1</v>
      </c>
      <c r="I163" s="21">
        <f t="shared" si="11"/>
        <v>1</v>
      </c>
      <c r="J163" s="21">
        <f t="shared" si="11"/>
        <v>1</v>
      </c>
      <c r="K163" s="21">
        <f t="shared" si="11"/>
        <v>0</v>
      </c>
      <c r="L163" s="21">
        <f t="shared" si="11"/>
        <v>1</v>
      </c>
      <c r="M163" s="21">
        <f t="shared" si="11"/>
        <v>0</v>
      </c>
      <c r="N163" s="21">
        <f t="shared" si="11"/>
        <v>1</v>
      </c>
      <c r="O163" s="1">
        <f>SUM(C163:N163)</f>
        <v>10</v>
      </c>
    </row>
    <row r="164" spans="1:15" hidden="1">
      <c r="A164" s="1" t="s">
        <v>347</v>
      </c>
      <c r="B164" s="185" t="s">
        <v>243</v>
      </c>
      <c r="C164" s="78">
        <f>SUM(C154:C163)</f>
        <v>23</v>
      </c>
      <c r="D164" s="78">
        <f t="shared" ref="D164:N164" si="13">SUM(D154:D163)</f>
        <v>23</v>
      </c>
      <c r="E164" s="78">
        <f t="shared" si="13"/>
        <v>25</v>
      </c>
      <c r="F164" s="78">
        <f t="shared" si="13"/>
        <v>22</v>
      </c>
      <c r="G164" s="78">
        <f t="shared" si="13"/>
        <v>22</v>
      </c>
      <c r="H164" s="78">
        <f t="shared" si="13"/>
        <v>23</v>
      </c>
      <c r="I164" s="78">
        <f t="shared" si="13"/>
        <v>22</v>
      </c>
      <c r="J164" s="78">
        <f t="shared" si="13"/>
        <v>19</v>
      </c>
      <c r="K164" s="78">
        <f t="shared" si="13"/>
        <v>17</v>
      </c>
      <c r="L164" s="78">
        <f t="shared" si="13"/>
        <v>24</v>
      </c>
      <c r="M164" s="78">
        <f t="shared" si="13"/>
        <v>20</v>
      </c>
      <c r="N164" s="78">
        <f t="shared" si="13"/>
        <v>20</v>
      </c>
      <c r="O164" s="1">
        <f t="shared" si="12"/>
        <v>260</v>
      </c>
    </row>
    <row r="165" spans="1:15" hidden="1">
      <c r="B165" s="45" t="s">
        <v>23</v>
      </c>
      <c r="C165" s="64">
        <f t="shared" ref="C165:N174" si="14">COUNTIF(C$3:C$149,$B165)</f>
        <v>3</v>
      </c>
      <c r="D165" s="64">
        <f t="shared" si="14"/>
        <v>3</v>
      </c>
      <c r="E165" s="64">
        <f t="shared" si="14"/>
        <v>3</v>
      </c>
      <c r="F165" s="64">
        <f t="shared" si="14"/>
        <v>3</v>
      </c>
      <c r="G165" s="64">
        <f t="shared" si="14"/>
        <v>3</v>
      </c>
      <c r="H165" s="64">
        <f t="shared" si="14"/>
        <v>3</v>
      </c>
      <c r="I165" s="64">
        <f t="shared" si="14"/>
        <v>3</v>
      </c>
      <c r="J165" s="64">
        <f t="shared" si="14"/>
        <v>3</v>
      </c>
      <c r="K165" s="64">
        <f t="shared" si="14"/>
        <v>3</v>
      </c>
      <c r="L165" s="64">
        <f t="shared" si="14"/>
        <v>3</v>
      </c>
      <c r="M165" s="64">
        <f t="shared" si="14"/>
        <v>3</v>
      </c>
      <c r="N165" s="64">
        <f t="shared" si="14"/>
        <v>3</v>
      </c>
      <c r="O165" s="1">
        <f t="shared" si="12"/>
        <v>36</v>
      </c>
    </row>
    <row r="166" spans="1:15" hidden="1">
      <c r="B166" s="43" t="s">
        <v>125</v>
      </c>
      <c r="C166" s="64">
        <f t="shared" si="14"/>
        <v>1</v>
      </c>
      <c r="D166" s="64">
        <f t="shared" si="14"/>
        <v>1</v>
      </c>
      <c r="E166" s="64">
        <f t="shared" si="14"/>
        <v>0</v>
      </c>
      <c r="F166" s="64">
        <f t="shared" si="14"/>
        <v>0</v>
      </c>
      <c r="G166" s="64">
        <f t="shared" si="14"/>
        <v>1</v>
      </c>
      <c r="H166" s="64">
        <f t="shared" si="14"/>
        <v>0</v>
      </c>
      <c r="I166" s="64">
        <f t="shared" si="14"/>
        <v>0</v>
      </c>
      <c r="J166" s="64">
        <f t="shared" si="14"/>
        <v>1</v>
      </c>
      <c r="K166" s="64">
        <f t="shared" si="14"/>
        <v>1</v>
      </c>
      <c r="L166" s="64">
        <f t="shared" si="14"/>
        <v>0</v>
      </c>
      <c r="M166" s="64">
        <f t="shared" si="14"/>
        <v>1</v>
      </c>
      <c r="N166" s="64">
        <f t="shared" si="14"/>
        <v>0</v>
      </c>
      <c r="O166" s="1">
        <f t="shared" si="12"/>
        <v>6</v>
      </c>
    </row>
    <row r="167" spans="1:15" hidden="1">
      <c r="B167" s="43" t="s">
        <v>143</v>
      </c>
      <c r="C167" s="64">
        <f t="shared" si="14"/>
        <v>1</v>
      </c>
      <c r="D167" s="64">
        <f t="shared" si="14"/>
        <v>1</v>
      </c>
      <c r="E167" s="64">
        <f t="shared" si="14"/>
        <v>2</v>
      </c>
      <c r="F167" s="64">
        <f t="shared" si="14"/>
        <v>1</v>
      </c>
      <c r="G167" s="64">
        <f t="shared" si="14"/>
        <v>1</v>
      </c>
      <c r="H167" s="64">
        <f t="shared" si="14"/>
        <v>2</v>
      </c>
      <c r="I167" s="64">
        <f t="shared" si="14"/>
        <v>2</v>
      </c>
      <c r="J167" s="64">
        <f t="shared" si="14"/>
        <v>2</v>
      </c>
      <c r="K167" s="64">
        <f t="shared" si="14"/>
        <v>1</v>
      </c>
      <c r="L167" s="64">
        <f t="shared" si="14"/>
        <v>2</v>
      </c>
      <c r="M167" s="64">
        <f t="shared" si="14"/>
        <v>2</v>
      </c>
      <c r="N167" s="64">
        <f t="shared" si="14"/>
        <v>2</v>
      </c>
      <c r="O167" s="1">
        <f t="shared" si="12"/>
        <v>19</v>
      </c>
    </row>
    <row r="168" spans="1:15" hidden="1">
      <c r="B168" s="53" t="s">
        <v>246</v>
      </c>
      <c r="C168" s="21">
        <f t="shared" si="14"/>
        <v>1</v>
      </c>
      <c r="D168" s="21">
        <f t="shared" si="14"/>
        <v>1</v>
      </c>
      <c r="E168" s="21">
        <f t="shared" si="14"/>
        <v>0</v>
      </c>
      <c r="F168" s="21">
        <f t="shared" si="14"/>
        <v>1</v>
      </c>
      <c r="G168" s="21">
        <f t="shared" si="14"/>
        <v>0</v>
      </c>
      <c r="H168" s="21">
        <f t="shared" si="14"/>
        <v>0</v>
      </c>
      <c r="I168" s="21">
        <f t="shared" si="14"/>
        <v>0</v>
      </c>
      <c r="J168" s="21">
        <f t="shared" si="14"/>
        <v>0</v>
      </c>
      <c r="K168" s="21">
        <f t="shared" si="14"/>
        <v>1</v>
      </c>
      <c r="L168" s="21">
        <f t="shared" si="14"/>
        <v>0</v>
      </c>
      <c r="M168" s="21">
        <f t="shared" si="14"/>
        <v>0</v>
      </c>
      <c r="N168" s="21">
        <f t="shared" si="14"/>
        <v>0</v>
      </c>
      <c r="O168" s="1">
        <f t="shared" ref="O168" si="15">SUM(C168:N168)</f>
        <v>4</v>
      </c>
    </row>
    <row r="169" spans="1:15" hidden="1">
      <c r="B169" s="43" t="s">
        <v>94</v>
      </c>
      <c r="C169" s="64">
        <f t="shared" si="14"/>
        <v>1</v>
      </c>
      <c r="D169" s="64">
        <f t="shared" si="14"/>
        <v>1</v>
      </c>
      <c r="E169" s="64">
        <f t="shared" si="14"/>
        <v>2</v>
      </c>
      <c r="F169" s="64">
        <f t="shared" si="14"/>
        <v>2</v>
      </c>
      <c r="G169" s="64">
        <f t="shared" si="14"/>
        <v>2</v>
      </c>
      <c r="H169" s="64">
        <f t="shared" si="14"/>
        <v>2</v>
      </c>
      <c r="I169" s="64">
        <f t="shared" si="14"/>
        <v>2</v>
      </c>
      <c r="J169" s="64">
        <f t="shared" si="14"/>
        <v>1</v>
      </c>
      <c r="K169" s="64">
        <f t="shared" si="14"/>
        <v>2</v>
      </c>
      <c r="L169" s="64">
        <f t="shared" si="14"/>
        <v>2</v>
      </c>
      <c r="M169" s="64">
        <f t="shared" si="14"/>
        <v>1</v>
      </c>
      <c r="N169" s="64">
        <f t="shared" si="14"/>
        <v>2</v>
      </c>
      <c r="O169" s="1">
        <f>SUM(C169:N169)</f>
        <v>20</v>
      </c>
    </row>
    <row r="170" spans="1:15" hidden="1">
      <c r="B170" s="53" t="s">
        <v>74</v>
      </c>
      <c r="C170" s="21">
        <f t="shared" si="14"/>
        <v>1</v>
      </c>
      <c r="D170" s="21">
        <f t="shared" si="14"/>
        <v>1</v>
      </c>
      <c r="E170" s="21">
        <f t="shared" si="14"/>
        <v>0</v>
      </c>
      <c r="F170" s="21">
        <f t="shared" si="14"/>
        <v>0</v>
      </c>
      <c r="G170" s="21">
        <f t="shared" si="14"/>
        <v>0</v>
      </c>
      <c r="H170" s="21">
        <f t="shared" si="14"/>
        <v>0</v>
      </c>
      <c r="I170" s="21">
        <f t="shared" si="14"/>
        <v>0</v>
      </c>
      <c r="J170" s="21">
        <f t="shared" si="14"/>
        <v>0</v>
      </c>
      <c r="K170" s="21">
        <f t="shared" si="14"/>
        <v>0</v>
      </c>
      <c r="L170" s="21">
        <f t="shared" si="14"/>
        <v>0</v>
      </c>
      <c r="M170" s="21">
        <f t="shared" si="14"/>
        <v>1</v>
      </c>
      <c r="N170" s="21">
        <f t="shared" si="14"/>
        <v>0</v>
      </c>
      <c r="O170" s="1">
        <f>SUM(C170:N170)</f>
        <v>3</v>
      </c>
    </row>
    <row r="171" spans="1:15" hidden="1">
      <c r="B171" s="43" t="s">
        <v>24</v>
      </c>
      <c r="C171" s="64">
        <f t="shared" si="14"/>
        <v>2</v>
      </c>
      <c r="D171" s="64">
        <f t="shared" si="14"/>
        <v>2</v>
      </c>
      <c r="E171" s="64">
        <f t="shared" si="14"/>
        <v>1</v>
      </c>
      <c r="F171" s="64">
        <f t="shared" si="14"/>
        <v>2</v>
      </c>
      <c r="G171" s="64">
        <f t="shared" si="14"/>
        <v>1</v>
      </c>
      <c r="H171" s="64">
        <f t="shared" si="14"/>
        <v>1</v>
      </c>
      <c r="I171" s="64">
        <f t="shared" si="14"/>
        <v>1</v>
      </c>
      <c r="J171" s="64">
        <f t="shared" si="14"/>
        <v>1</v>
      </c>
      <c r="K171" s="64">
        <f t="shared" si="14"/>
        <v>2</v>
      </c>
      <c r="L171" s="64">
        <f t="shared" si="14"/>
        <v>1</v>
      </c>
      <c r="M171" s="64">
        <f t="shared" si="14"/>
        <v>1</v>
      </c>
      <c r="N171" s="64">
        <f t="shared" si="14"/>
        <v>1</v>
      </c>
      <c r="O171" s="1">
        <f>SUM(C171:N171)</f>
        <v>16</v>
      </c>
    </row>
    <row r="172" spans="1:15" hidden="1">
      <c r="B172" s="43" t="s">
        <v>62</v>
      </c>
      <c r="C172" s="64">
        <f t="shared" si="14"/>
        <v>2</v>
      </c>
      <c r="D172" s="64">
        <f t="shared" si="14"/>
        <v>2</v>
      </c>
      <c r="E172" s="64">
        <f t="shared" si="14"/>
        <v>2</v>
      </c>
      <c r="F172" s="64">
        <f t="shared" si="14"/>
        <v>2</v>
      </c>
      <c r="G172" s="64">
        <f t="shared" si="14"/>
        <v>2</v>
      </c>
      <c r="H172" s="64">
        <f t="shared" si="14"/>
        <v>2</v>
      </c>
      <c r="I172" s="64">
        <f t="shared" si="14"/>
        <v>2</v>
      </c>
      <c r="J172" s="64">
        <f t="shared" si="14"/>
        <v>2</v>
      </c>
      <c r="K172" s="64">
        <f t="shared" si="14"/>
        <v>2</v>
      </c>
      <c r="L172" s="64">
        <f t="shared" si="14"/>
        <v>2</v>
      </c>
      <c r="M172" s="64">
        <f t="shared" si="14"/>
        <v>2</v>
      </c>
      <c r="N172" s="64">
        <f t="shared" si="14"/>
        <v>2</v>
      </c>
      <c r="O172" s="1">
        <f>SUM(C172:N172)</f>
        <v>24</v>
      </c>
    </row>
    <row r="173" spans="1:15" ht="18" hidden="1" customHeight="1">
      <c r="B173" s="43" t="s">
        <v>42</v>
      </c>
      <c r="C173" s="64">
        <f t="shared" si="14"/>
        <v>3</v>
      </c>
      <c r="D173" s="64">
        <f t="shared" si="14"/>
        <v>3</v>
      </c>
      <c r="E173" s="64">
        <f t="shared" si="14"/>
        <v>2</v>
      </c>
      <c r="F173" s="64">
        <f t="shared" si="14"/>
        <v>3</v>
      </c>
      <c r="G173" s="64">
        <f t="shared" si="14"/>
        <v>3</v>
      </c>
      <c r="H173" s="64">
        <f t="shared" si="14"/>
        <v>2</v>
      </c>
      <c r="I173" s="64">
        <f t="shared" si="14"/>
        <v>3</v>
      </c>
      <c r="J173" s="64">
        <f t="shared" si="14"/>
        <v>3</v>
      </c>
      <c r="K173" s="64">
        <f t="shared" si="14"/>
        <v>3</v>
      </c>
      <c r="L173" s="64">
        <f t="shared" si="14"/>
        <v>2</v>
      </c>
      <c r="M173" s="64">
        <f t="shared" si="14"/>
        <v>3</v>
      </c>
      <c r="N173" s="64">
        <f t="shared" si="14"/>
        <v>2</v>
      </c>
      <c r="O173" s="1">
        <f>SUM(C173:N173)</f>
        <v>32</v>
      </c>
    </row>
    <row r="174" spans="1:15" hidden="1">
      <c r="B174" s="53" t="s">
        <v>41</v>
      </c>
      <c r="C174" s="21">
        <f t="shared" si="14"/>
        <v>1</v>
      </c>
      <c r="D174" s="21">
        <f t="shared" si="14"/>
        <v>0</v>
      </c>
      <c r="E174" s="21">
        <f t="shared" si="14"/>
        <v>0</v>
      </c>
      <c r="F174" s="21">
        <f t="shared" si="14"/>
        <v>1</v>
      </c>
      <c r="G174" s="21">
        <f t="shared" si="14"/>
        <v>0</v>
      </c>
      <c r="H174" s="21">
        <f t="shared" si="14"/>
        <v>0</v>
      </c>
      <c r="I174" s="21">
        <f t="shared" si="14"/>
        <v>1</v>
      </c>
      <c r="J174" s="21">
        <f t="shared" si="14"/>
        <v>0</v>
      </c>
      <c r="K174" s="21">
        <f t="shared" si="14"/>
        <v>0</v>
      </c>
      <c r="L174" s="21">
        <f t="shared" si="14"/>
        <v>0</v>
      </c>
      <c r="M174" s="21">
        <f t="shared" si="14"/>
        <v>0</v>
      </c>
      <c r="N174" s="21">
        <f t="shared" si="14"/>
        <v>0</v>
      </c>
      <c r="O174" s="1">
        <f t="shared" ref="O174" si="16">SUM(C174:N174)</f>
        <v>3</v>
      </c>
    </row>
    <row r="175" spans="1:15" hidden="1">
      <c r="A175" s="1" t="s">
        <v>347</v>
      </c>
      <c r="B175" s="43" t="s">
        <v>245</v>
      </c>
      <c r="C175" s="79">
        <f>SUM(C165:C174)</f>
        <v>16</v>
      </c>
      <c r="D175" s="79">
        <f>SUM(D165:D174)</f>
        <v>15</v>
      </c>
      <c r="E175" s="79">
        <f t="shared" ref="E175:N175" si="17">SUM(E165:E174)</f>
        <v>12</v>
      </c>
      <c r="F175" s="79">
        <f t="shared" si="17"/>
        <v>15</v>
      </c>
      <c r="G175" s="79">
        <f t="shared" si="17"/>
        <v>13</v>
      </c>
      <c r="H175" s="79">
        <f t="shared" si="17"/>
        <v>12</v>
      </c>
      <c r="I175" s="79">
        <f t="shared" si="17"/>
        <v>14</v>
      </c>
      <c r="J175" s="79">
        <f t="shared" si="17"/>
        <v>13</v>
      </c>
      <c r="K175" s="79">
        <f t="shared" si="17"/>
        <v>15</v>
      </c>
      <c r="L175" s="79">
        <f t="shared" si="17"/>
        <v>12</v>
      </c>
      <c r="M175" s="79">
        <f t="shared" si="17"/>
        <v>14</v>
      </c>
      <c r="N175" s="79">
        <f t="shared" si="17"/>
        <v>12</v>
      </c>
      <c r="O175" s="1">
        <f t="shared" ref="O175:O180" si="18">SUM(C175:N175)</f>
        <v>163</v>
      </c>
    </row>
    <row r="176" spans="1:15" hidden="1">
      <c r="B176" s="186" t="s">
        <v>181</v>
      </c>
      <c r="C176" s="187">
        <f t="shared" ref="C176:N179" si="19">COUNTIF(C$3:C$149,$B176)</f>
        <v>5</v>
      </c>
      <c r="D176" s="187">
        <f t="shared" si="19"/>
        <v>5</v>
      </c>
      <c r="E176" s="187">
        <f t="shared" si="19"/>
        <v>4</v>
      </c>
      <c r="F176" s="187">
        <f t="shared" si="19"/>
        <v>3</v>
      </c>
      <c r="G176" s="187">
        <f t="shared" si="19"/>
        <v>4</v>
      </c>
      <c r="H176" s="187">
        <f t="shared" si="19"/>
        <v>4</v>
      </c>
      <c r="I176" s="187">
        <f t="shared" si="19"/>
        <v>4</v>
      </c>
      <c r="J176" s="187">
        <f t="shared" si="19"/>
        <v>4</v>
      </c>
      <c r="K176" s="187">
        <f t="shared" si="19"/>
        <v>3</v>
      </c>
      <c r="L176" s="187">
        <f t="shared" si="19"/>
        <v>4</v>
      </c>
      <c r="M176" s="187">
        <f t="shared" si="19"/>
        <v>4</v>
      </c>
      <c r="N176" s="187">
        <f t="shared" si="19"/>
        <v>4</v>
      </c>
      <c r="O176" s="1">
        <f t="shared" si="18"/>
        <v>48</v>
      </c>
    </row>
    <row r="177" spans="1:62" hidden="1">
      <c r="B177" s="53" t="s">
        <v>28</v>
      </c>
      <c r="C177" s="21">
        <f t="shared" si="19"/>
        <v>1</v>
      </c>
      <c r="D177" s="21">
        <f t="shared" si="19"/>
        <v>0</v>
      </c>
      <c r="E177" s="21">
        <f t="shared" si="19"/>
        <v>0</v>
      </c>
      <c r="F177" s="21">
        <f t="shared" si="19"/>
        <v>1</v>
      </c>
      <c r="G177" s="21">
        <f t="shared" si="19"/>
        <v>1</v>
      </c>
      <c r="H177" s="21">
        <f t="shared" si="19"/>
        <v>0</v>
      </c>
      <c r="I177" s="21">
        <f t="shared" si="19"/>
        <v>1</v>
      </c>
      <c r="J177" s="21">
        <f t="shared" si="19"/>
        <v>1</v>
      </c>
      <c r="K177" s="21">
        <f t="shared" si="19"/>
        <v>0</v>
      </c>
      <c r="L177" s="21">
        <f t="shared" si="19"/>
        <v>0</v>
      </c>
      <c r="M177" s="21">
        <f t="shared" si="19"/>
        <v>0</v>
      </c>
      <c r="N177" s="21">
        <f t="shared" si="19"/>
        <v>1</v>
      </c>
      <c r="O177" s="1">
        <f t="shared" si="18"/>
        <v>6</v>
      </c>
    </row>
    <row r="178" spans="1:62" hidden="1">
      <c r="B178" s="188" t="s">
        <v>128</v>
      </c>
      <c r="C178" s="183">
        <f t="shared" si="19"/>
        <v>5</v>
      </c>
      <c r="D178" s="183">
        <f t="shared" si="19"/>
        <v>5</v>
      </c>
      <c r="E178" s="183">
        <f t="shared" si="19"/>
        <v>5</v>
      </c>
      <c r="F178" s="183">
        <f t="shared" si="19"/>
        <v>5</v>
      </c>
      <c r="G178" s="183">
        <f t="shared" si="19"/>
        <v>4</v>
      </c>
      <c r="H178" s="183">
        <f t="shared" si="19"/>
        <v>5</v>
      </c>
      <c r="I178" s="183">
        <f t="shared" si="19"/>
        <v>4</v>
      </c>
      <c r="J178" s="183">
        <f t="shared" si="19"/>
        <v>5</v>
      </c>
      <c r="K178" s="183">
        <f t="shared" si="19"/>
        <v>4</v>
      </c>
      <c r="L178" s="183">
        <f t="shared" si="19"/>
        <v>4</v>
      </c>
      <c r="M178" s="183">
        <f t="shared" si="19"/>
        <v>4</v>
      </c>
      <c r="N178" s="183">
        <f t="shared" si="19"/>
        <v>4</v>
      </c>
      <c r="O178" s="1">
        <f t="shared" si="18"/>
        <v>54</v>
      </c>
    </row>
    <row r="179" spans="1:62" hidden="1">
      <c r="B179" s="53" t="s">
        <v>63</v>
      </c>
      <c r="C179" s="21">
        <f t="shared" si="19"/>
        <v>0</v>
      </c>
      <c r="D179" s="21">
        <f t="shared" si="19"/>
        <v>0</v>
      </c>
      <c r="E179" s="21">
        <f t="shared" si="19"/>
        <v>0</v>
      </c>
      <c r="F179" s="21">
        <f t="shared" si="19"/>
        <v>1</v>
      </c>
      <c r="G179" s="21">
        <f t="shared" si="19"/>
        <v>0</v>
      </c>
      <c r="H179" s="21">
        <f t="shared" si="19"/>
        <v>0</v>
      </c>
      <c r="I179" s="21">
        <f t="shared" si="19"/>
        <v>1</v>
      </c>
      <c r="J179" s="21">
        <f t="shared" si="19"/>
        <v>1</v>
      </c>
      <c r="K179" s="21">
        <f t="shared" si="19"/>
        <v>0</v>
      </c>
      <c r="L179" s="21">
        <f t="shared" si="19"/>
        <v>0</v>
      </c>
      <c r="M179" s="21">
        <f t="shared" si="19"/>
        <v>1</v>
      </c>
      <c r="N179" s="21">
        <f t="shared" si="19"/>
        <v>0</v>
      </c>
      <c r="O179" s="1">
        <f t="shared" si="18"/>
        <v>4</v>
      </c>
    </row>
    <row r="180" spans="1:62" hidden="1">
      <c r="B180" s="189" t="s">
        <v>129</v>
      </c>
      <c r="C180" s="80">
        <f>COUNTIF(C$3:C$149,$B180)</f>
        <v>7</v>
      </c>
      <c r="D180" s="80">
        <f>COUNTIF(D$3:D$149,$B180)</f>
        <v>8</v>
      </c>
      <c r="E180" s="80">
        <f>COUNTIF(E$3:E$149,$B180)+1</f>
        <v>7</v>
      </c>
      <c r="F180" s="80">
        <f>COUNTIF(F$3:F$149,$B180)+1</f>
        <v>8</v>
      </c>
      <c r="G180" s="80">
        <f>COUNTIF(G$3:G$149,$B180)</f>
        <v>6</v>
      </c>
      <c r="H180" s="80">
        <f>COUNTIF(H$3:H$149,$B180)</f>
        <v>7</v>
      </c>
      <c r="I180" s="80">
        <f>COUNTIF(I$3:I$149,$B180)+1</f>
        <v>9</v>
      </c>
      <c r="J180" s="80">
        <f>COUNTIF(J$3:J$149,$B180)</f>
        <v>6</v>
      </c>
      <c r="K180" s="80">
        <f t="shared" ref="K180:N180" si="20">COUNTIF(K$3:K$149,$B180)</f>
        <v>6</v>
      </c>
      <c r="L180" s="80">
        <f t="shared" si="20"/>
        <v>7</v>
      </c>
      <c r="M180" s="80">
        <f t="shared" si="20"/>
        <v>7</v>
      </c>
      <c r="N180" s="80">
        <f t="shared" si="20"/>
        <v>6</v>
      </c>
      <c r="O180" s="1">
        <f t="shared" si="18"/>
        <v>84</v>
      </c>
    </row>
    <row r="181" spans="1:62" hidden="1">
      <c r="B181" s="53" t="s">
        <v>75</v>
      </c>
      <c r="C181" s="21">
        <f t="shared" ref="C181:N181" si="21">COUNTIF(C$3:C$142,$B181)</f>
        <v>0</v>
      </c>
      <c r="D181" s="21">
        <f t="shared" si="21"/>
        <v>0</v>
      </c>
      <c r="E181" s="21">
        <f t="shared" si="21"/>
        <v>0</v>
      </c>
      <c r="F181" s="21">
        <f t="shared" si="21"/>
        <v>0</v>
      </c>
      <c r="G181" s="21">
        <f t="shared" si="21"/>
        <v>0</v>
      </c>
      <c r="H181" s="21">
        <f t="shared" si="21"/>
        <v>0</v>
      </c>
      <c r="I181" s="21">
        <f t="shared" si="21"/>
        <v>0</v>
      </c>
      <c r="J181" s="21">
        <f t="shared" si="21"/>
        <v>1</v>
      </c>
      <c r="K181" s="21">
        <f t="shared" si="21"/>
        <v>1</v>
      </c>
      <c r="L181" s="21">
        <f t="shared" si="21"/>
        <v>0</v>
      </c>
      <c r="M181" s="21">
        <f t="shared" si="21"/>
        <v>0</v>
      </c>
      <c r="N181" s="21">
        <f t="shared" si="21"/>
        <v>1</v>
      </c>
      <c r="O181" s="3"/>
    </row>
    <row r="182" spans="1:62" hidden="1">
      <c r="B182" s="190" t="s">
        <v>127</v>
      </c>
      <c r="C182" s="21">
        <f t="shared" ref="C182:N194" si="22">COUNTIF(C$3:C$149,$B182)</f>
        <v>6</v>
      </c>
      <c r="D182" s="21">
        <f t="shared" si="22"/>
        <v>8</v>
      </c>
      <c r="E182" s="21">
        <f t="shared" si="22"/>
        <v>10</v>
      </c>
      <c r="F182" s="21">
        <f t="shared" si="22"/>
        <v>10</v>
      </c>
      <c r="G182" s="21">
        <f t="shared" si="22"/>
        <v>10</v>
      </c>
      <c r="H182" s="21">
        <f t="shared" si="22"/>
        <v>11</v>
      </c>
      <c r="I182" s="21">
        <f t="shared" si="22"/>
        <v>5</v>
      </c>
      <c r="J182" s="21">
        <f t="shared" si="22"/>
        <v>7</v>
      </c>
      <c r="K182" s="21">
        <f t="shared" si="22"/>
        <v>10</v>
      </c>
      <c r="L182" s="21">
        <f t="shared" si="22"/>
        <v>6</v>
      </c>
      <c r="M182" s="21">
        <f t="shared" si="22"/>
        <v>5</v>
      </c>
      <c r="N182" s="21">
        <f t="shared" si="22"/>
        <v>5</v>
      </c>
      <c r="O182" s="1">
        <f t="shared" ref="O182:O195" si="23">SUM(C182:N182)</f>
        <v>93</v>
      </c>
    </row>
    <row r="183" spans="1:62" hidden="1">
      <c r="A183" s="3"/>
      <c r="B183" s="52" t="s">
        <v>17</v>
      </c>
      <c r="C183" s="28">
        <f t="shared" si="22"/>
        <v>3</v>
      </c>
      <c r="D183" s="28">
        <f t="shared" si="22"/>
        <v>3</v>
      </c>
      <c r="E183" s="28">
        <f t="shared" si="22"/>
        <v>3</v>
      </c>
      <c r="F183" s="28">
        <f t="shared" si="22"/>
        <v>3</v>
      </c>
      <c r="G183" s="28">
        <f t="shared" si="22"/>
        <v>3</v>
      </c>
      <c r="H183" s="28">
        <f t="shared" si="22"/>
        <v>3</v>
      </c>
      <c r="I183" s="28">
        <f t="shared" si="22"/>
        <v>3</v>
      </c>
      <c r="J183" s="28">
        <f t="shared" si="22"/>
        <v>4</v>
      </c>
      <c r="K183" s="28">
        <f t="shared" si="22"/>
        <v>3</v>
      </c>
      <c r="L183" s="28">
        <f t="shared" si="22"/>
        <v>4</v>
      </c>
      <c r="M183" s="28">
        <f t="shared" si="22"/>
        <v>3</v>
      </c>
      <c r="N183" s="28">
        <f t="shared" si="22"/>
        <v>4</v>
      </c>
      <c r="O183" s="1">
        <f t="shared" si="23"/>
        <v>39</v>
      </c>
      <c r="Z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</row>
    <row r="184" spans="1:62" hidden="1">
      <c r="B184" s="53" t="s">
        <v>43</v>
      </c>
      <c r="C184" s="21">
        <f t="shared" si="22"/>
        <v>2</v>
      </c>
      <c r="D184" s="21">
        <f t="shared" si="22"/>
        <v>1</v>
      </c>
      <c r="E184" s="21">
        <f t="shared" si="22"/>
        <v>2</v>
      </c>
      <c r="F184" s="21">
        <f t="shared" si="22"/>
        <v>1</v>
      </c>
      <c r="G184" s="21">
        <f t="shared" si="22"/>
        <v>2</v>
      </c>
      <c r="H184" s="21">
        <f t="shared" si="22"/>
        <v>1</v>
      </c>
      <c r="I184" s="21">
        <f t="shared" si="22"/>
        <v>2</v>
      </c>
      <c r="J184" s="21">
        <f t="shared" si="22"/>
        <v>1</v>
      </c>
      <c r="K184" s="21">
        <f t="shared" si="22"/>
        <v>0</v>
      </c>
      <c r="L184" s="21">
        <f t="shared" si="22"/>
        <v>0</v>
      </c>
      <c r="M184" s="21">
        <f t="shared" si="22"/>
        <v>1</v>
      </c>
      <c r="N184" s="21">
        <f t="shared" si="22"/>
        <v>1</v>
      </c>
      <c r="O184" s="1">
        <f t="shared" si="23"/>
        <v>14</v>
      </c>
    </row>
    <row r="185" spans="1:62" hidden="1">
      <c r="B185" s="53" t="s">
        <v>116</v>
      </c>
      <c r="C185" s="21">
        <f t="shared" si="22"/>
        <v>1</v>
      </c>
      <c r="D185" s="21">
        <f t="shared" si="22"/>
        <v>1</v>
      </c>
      <c r="E185" s="21">
        <f t="shared" si="22"/>
        <v>1</v>
      </c>
      <c r="F185" s="21">
        <f t="shared" si="22"/>
        <v>1</v>
      </c>
      <c r="G185" s="21">
        <f t="shared" si="22"/>
        <v>1</v>
      </c>
      <c r="H185" s="21">
        <f t="shared" si="22"/>
        <v>1</v>
      </c>
      <c r="I185" s="21">
        <f t="shared" si="22"/>
        <v>0</v>
      </c>
      <c r="J185" s="21">
        <f t="shared" si="22"/>
        <v>1</v>
      </c>
      <c r="K185" s="21">
        <f t="shared" si="22"/>
        <v>1</v>
      </c>
      <c r="L185" s="21">
        <f t="shared" si="22"/>
        <v>0</v>
      </c>
      <c r="M185" s="21">
        <f t="shared" si="22"/>
        <v>0</v>
      </c>
      <c r="N185" s="21">
        <f t="shared" si="22"/>
        <v>1</v>
      </c>
      <c r="O185" s="1">
        <f t="shared" si="23"/>
        <v>9</v>
      </c>
    </row>
    <row r="186" spans="1:62" hidden="1">
      <c r="B186" s="53" t="s">
        <v>22</v>
      </c>
      <c r="C186" s="21">
        <f t="shared" si="22"/>
        <v>3</v>
      </c>
      <c r="D186" s="21">
        <f t="shared" si="22"/>
        <v>3</v>
      </c>
      <c r="E186" s="21">
        <f t="shared" si="22"/>
        <v>3</v>
      </c>
      <c r="F186" s="21">
        <f t="shared" si="22"/>
        <v>3</v>
      </c>
      <c r="G186" s="21">
        <f t="shared" si="22"/>
        <v>3</v>
      </c>
      <c r="H186" s="21">
        <f t="shared" si="22"/>
        <v>2</v>
      </c>
      <c r="I186" s="21">
        <f t="shared" si="22"/>
        <v>3</v>
      </c>
      <c r="J186" s="21">
        <f t="shared" si="22"/>
        <v>2</v>
      </c>
      <c r="K186" s="21">
        <f t="shared" si="22"/>
        <v>3</v>
      </c>
      <c r="L186" s="21">
        <f t="shared" si="22"/>
        <v>2</v>
      </c>
      <c r="M186" s="21">
        <f t="shared" si="22"/>
        <v>3</v>
      </c>
      <c r="N186" s="21">
        <f t="shared" si="22"/>
        <v>3</v>
      </c>
      <c r="O186" s="1">
        <f t="shared" si="23"/>
        <v>33</v>
      </c>
    </row>
    <row r="187" spans="1:62" hidden="1">
      <c r="B187" s="53" t="s">
        <v>52</v>
      </c>
      <c r="C187" s="21">
        <f t="shared" si="22"/>
        <v>2</v>
      </c>
      <c r="D187" s="21">
        <f t="shared" si="22"/>
        <v>2</v>
      </c>
      <c r="E187" s="21">
        <f t="shared" si="22"/>
        <v>2</v>
      </c>
      <c r="F187" s="21">
        <f t="shared" si="22"/>
        <v>1</v>
      </c>
      <c r="G187" s="21">
        <f t="shared" si="22"/>
        <v>1</v>
      </c>
      <c r="H187" s="21">
        <f t="shared" si="22"/>
        <v>1</v>
      </c>
      <c r="I187" s="21">
        <f t="shared" si="22"/>
        <v>2</v>
      </c>
      <c r="J187" s="21">
        <f t="shared" si="22"/>
        <v>1</v>
      </c>
      <c r="K187" s="21">
        <f t="shared" si="22"/>
        <v>1</v>
      </c>
      <c r="L187" s="21">
        <f t="shared" si="22"/>
        <v>2</v>
      </c>
      <c r="M187" s="21">
        <f t="shared" si="22"/>
        <v>2</v>
      </c>
      <c r="N187" s="21">
        <f t="shared" si="22"/>
        <v>1</v>
      </c>
      <c r="O187" s="1">
        <f t="shared" si="23"/>
        <v>18</v>
      </c>
    </row>
    <row r="188" spans="1:62" hidden="1">
      <c r="B188" s="53" t="s">
        <v>64</v>
      </c>
      <c r="C188" s="21">
        <f t="shared" si="22"/>
        <v>1</v>
      </c>
      <c r="D188" s="21">
        <f t="shared" si="22"/>
        <v>1</v>
      </c>
      <c r="E188" s="21">
        <f t="shared" si="22"/>
        <v>1</v>
      </c>
      <c r="F188" s="21">
        <f t="shared" si="22"/>
        <v>1</v>
      </c>
      <c r="G188" s="21">
        <f t="shared" si="22"/>
        <v>1</v>
      </c>
      <c r="H188" s="21">
        <f t="shared" si="22"/>
        <v>1</v>
      </c>
      <c r="I188" s="21">
        <f t="shared" si="22"/>
        <v>1</v>
      </c>
      <c r="J188" s="21">
        <f t="shared" si="22"/>
        <v>1</v>
      </c>
      <c r="K188" s="21">
        <f t="shared" si="22"/>
        <v>1</v>
      </c>
      <c r="L188" s="21">
        <f t="shared" si="22"/>
        <v>1</v>
      </c>
      <c r="M188" s="21">
        <f t="shared" si="22"/>
        <v>1</v>
      </c>
      <c r="N188" s="21">
        <f t="shared" si="22"/>
        <v>1</v>
      </c>
      <c r="O188" s="1">
        <f t="shared" si="23"/>
        <v>12</v>
      </c>
    </row>
    <row r="189" spans="1:62" hidden="1">
      <c r="B189" s="53" t="s">
        <v>27</v>
      </c>
      <c r="C189" s="21">
        <f t="shared" si="22"/>
        <v>2</v>
      </c>
      <c r="D189" s="21">
        <f t="shared" si="22"/>
        <v>2</v>
      </c>
      <c r="E189" s="21">
        <f t="shared" si="22"/>
        <v>2</v>
      </c>
      <c r="F189" s="21">
        <f t="shared" si="22"/>
        <v>2</v>
      </c>
      <c r="G189" s="21">
        <f t="shared" si="22"/>
        <v>2</v>
      </c>
      <c r="H189" s="21">
        <f t="shared" si="22"/>
        <v>1</v>
      </c>
      <c r="I189" s="21">
        <f t="shared" si="22"/>
        <v>2</v>
      </c>
      <c r="J189" s="21">
        <f t="shared" si="22"/>
        <v>1</v>
      </c>
      <c r="K189" s="21">
        <f t="shared" si="22"/>
        <v>2</v>
      </c>
      <c r="L189" s="21">
        <f t="shared" si="22"/>
        <v>2</v>
      </c>
      <c r="M189" s="21">
        <f t="shared" si="22"/>
        <v>2</v>
      </c>
      <c r="N189" s="21">
        <f t="shared" si="22"/>
        <v>2</v>
      </c>
      <c r="O189" s="1">
        <f t="shared" si="23"/>
        <v>22</v>
      </c>
    </row>
    <row r="190" spans="1:62" hidden="1">
      <c r="B190" s="53" t="s">
        <v>102</v>
      </c>
      <c r="C190" s="21">
        <f t="shared" si="22"/>
        <v>1</v>
      </c>
      <c r="D190" s="21">
        <f t="shared" si="22"/>
        <v>1</v>
      </c>
      <c r="E190" s="21">
        <f t="shared" si="22"/>
        <v>1</v>
      </c>
      <c r="F190" s="21">
        <f t="shared" si="22"/>
        <v>1</v>
      </c>
      <c r="G190" s="21">
        <f t="shared" si="22"/>
        <v>1</v>
      </c>
      <c r="H190" s="21">
        <f t="shared" si="22"/>
        <v>1</v>
      </c>
      <c r="I190" s="21">
        <f t="shared" si="22"/>
        <v>1</v>
      </c>
      <c r="J190" s="21">
        <f t="shared" si="22"/>
        <v>1</v>
      </c>
      <c r="K190" s="21">
        <f t="shared" si="22"/>
        <v>1</v>
      </c>
      <c r="L190" s="21">
        <f t="shared" si="22"/>
        <v>1</v>
      </c>
      <c r="M190" s="21">
        <f t="shared" si="22"/>
        <v>1</v>
      </c>
      <c r="N190" s="21">
        <f t="shared" si="22"/>
        <v>1</v>
      </c>
      <c r="O190" s="1">
        <f t="shared" si="23"/>
        <v>12</v>
      </c>
    </row>
    <row r="191" spans="1:62" hidden="1">
      <c r="B191" s="53" t="s">
        <v>210</v>
      </c>
      <c r="C191" s="21">
        <f t="shared" si="22"/>
        <v>2</v>
      </c>
      <c r="D191" s="21">
        <f t="shared" si="22"/>
        <v>2</v>
      </c>
      <c r="E191" s="21">
        <f t="shared" si="22"/>
        <v>2</v>
      </c>
      <c r="F191" s="21">
        <f t="shared" si="22"/>
        <v>2</v>
      </c>
      <c r="G191" s="21">
        <f t="shared" si="22"/>
        <v>2</v>
      </c>
      <c r="H191" s="21">
        <f t="shared" si="22"/>
        <v>2</v>
      </c>
      <c r="I191" s="21">
        <f t="shared" si="22"/>
        <v>2</v>
      </c>
      <c r="J191" s="21">
        <f t="shared" si="22"/>
        <v>2</v>
      </c>
      <c r="K191" s="21">
        <f t="shared" si="22"/>
        <v>2</v>
      </c>
      <c r="L191" s="21">
        <f t="shared" si="22"/>
        <v>1</v>
      </c>
      <c r="M191" s="21">
        <f t="shared" si="22"/>
        <v>2</v>
      </c>
      <c r="N191" s="21">
        <f t="shared" si="22"/>
        <v>2</v>
      </c>
      <c r="O191" s="1">
        <f t="shared" si="23"/>
        <v>23</v>
      </c>
    </row>
    <row r="192" spans="1:62" hidden="1">
      <c r="B192" s="53" t="s">
        <v>65</v>
      </c>
      <c r="C192" s="21">
        <f t="shared" si="22"/>
        <v>2</v>
      </c>
      <c r="D192" s="21">
        <f t="shared" si="22"/>
        <v>2</v>
      </c>
      <c r="E192" s="21">
        <f t="shared" si="22"/>
        <v>2</v>
      </c>
      <c r="F192" s="21">
        <f t="shared" si="22"/>
        <v>2</v>
      </c>
      <c r="G192" s="21">
        <f t="shared" si="22"/>
        <v>2</v>
      </c>
      <c r="H192" s="21">
        <f t="shared" si="22"/>
        <v>2</v>
      </c>
      <c r="I192" s="21">
        <f t="shared" si="22"/>
        <v>2</v>
      </c>
      <c r="J192" s="21">
        <f t="shared" si="22"/>
        <v>2</v>
      </c>
      <c r="K192" s="21">
        <f t="shared" si="22"/>
        <v>4</v>
      </c>
      <c r="L192" s="21">
        <f t="shared" si="22"/>
        <v>4</v>
      </c>
      <c r="M192" s="21">
        <f t="shared" si="22"/>
        <v>3</v>
      </c>
      <c r="N192" s="21">
        <f t="shared" si="22"/>
        <v>4</v>
      </c>
      <c r="O192" s="1">
        <f t="shared" si="23"/>
        <v>31</v>
      </c>
    </row>
    <row r="193" spans="1:26" hidden="1">
      <c r="B193" s="53" t="s">
        <v>85</v>
      </c>
      <c r="C193" s="21">
        <f t="shared" si="22"/>
        <v>2</v>
      </c>
      <c r="D193" s="21">
        <f t="shared" si="22"/>
        <v>2</v>
      </c>
      <c r="E193" s="21">
        <f t="shared" si="22"/>
        <v>2</v>
      </c>
      <c r="F193" s="21">
        <f t="shared" si="22"/>
        <v>2</v>
      </c>
      <c r="G193" s="21">
        <f t="shared" si="22"/>
        <v>1</v>
      </c>
      <c r="H193" s="21">
        <f t="shared" si="22"/>
        <v>1</v>
      </c>
      <c r="I193" s="21">
        <f t="shared" si="22"/>
        <v>2</v>
      </c>
      <c r="J193" s="21">
        <f t="shared" si="22"/>
        <v>2</v>
      </c>
      <c r="K193" s="21">
        <f t="shared" si="22"/>
        <v>1</v>
      </c>
      <c r="L193" s="21">
        <f t="shared" si="22"/>
        <v>1</v>
      </c>
      <c r="M193" s="21">
        <f t="shared" si="22"/>
        <v>2</v>
      </c>
      <c r="N193" s="21">
        <f t="shared" si="22"/>
        <v>2</v>
      </c>
      <c r="O193" s="1">
        <f t="shared" si="23"/>
        <v>20</v>
      </c>
    </row>
    <row r="194" spans="1:26" hidden="1">
      <c r="B194" s="53" t="s">
        <v>105</v>
      </c>
      <c r="C194" s="21">
        <f t="shared" si="22"/>
        <v>2</v>
      </c>
      <c r="D194" s="21">
        <f t="shared" si="22"/>
        <v>0</v>
      </c>
      <c r="E194" s="21">
        <f t="shared" si="22"/>
        <v>2</v>
      </c>
      <c r="F194" s="21">
        <f t="shared" si="22"/>
        <v>1</v>
      </c>
      <c r="G194" s="21">
        <f t="shared" si="22"/>
        <v>0</v>
      </c>
      <c r="H194" s="21">
        <f t="shared" si="22"/>
        <v>1</v>
      </c>
      <c r="I194" s="21">
        <f t="shared" si="22"/>
        <v>0</v>
      </c>
      <c r="J194" s="21">
        <f t="shared" si="22"/>
        <v>1</v>
      </c>
      <c r="K194" s="21">
        <f t="shared" si="22"/>
        <v>0</v>
      </c>
      <c r="L194" s="21">
        <f t="shared" si="22"/>
        <v>0</v>
      </c>
      <c r="M194" s="21">
        <f t="shared" si="22"/>
        <v>0</v>
      </c>
      <c r="N194" s="21">
        <f t="shared" si="22"/>
        <v>0</v>
      </c>
      <c r="O194" s="1">
        <f t="shared" si="23"/>
        <v>7</v>
      </c>
      <c r="Z194" s="1"/>
    </row>
    <row r="195" spans="1:26" hidden="1">
      <c r="A195" s="1" t="s">
        <v>348</v>
      </c>
      <c r="B195" s="53" t="s">
        <v>247</v>
      </c>
      <c r="C195" s="11">
        <f>SUM(C184:C194)+C177+C179+C181+C168+C170+C174+C163</f>
        <v>25</v>
      </c>
      <c r="D195" s="11">
        <f t="shared" ref="D195:N195" si="24">SUM(D184:D194)+D177+D179+D181+D168+D170+D174</f>
        <v>19</v>
      </c>
      <c r="E195" s="11">
        <f t="shared" si="24"/>
        <v>20</v>
      </c>
      <c r="F195" s="11">
        <f t="shared" si="24"/>
        <v>21</v>
      </c>
      <c r="G195" s="11">
        <f t="shared" si="24"/>
        <v>17</v>
      </c>
      <c r="H195" s="11">
        <f t="shared" si="24"/>
        <v>14</v>
      </c>
      <c r="I195" s="11">
        <f t="shared" si="24"/>
        <v>20</v>
      </c>
      <c r="J195" s="11">
        <f t="shared" si="24"/>
        <v>18</v>
      </c>
      <c r="K195" s="11">
        <f t="shared" si="24"/>
        <v>18</v>
      </c>
      <c r="L195" s="11">
        <f t="shared" si="24"/>
        <v>14</v>
      </c>
      <c r="M195" s="11">
        <f t="shared" si="24"/>
        <v>19</v>
      </c>
      <c r="N195" s="11">
        <f t="shared" si="24"/>
        <v>20</v>
      </c>
      <c r="O195" s="1">
        <f t="shared" si="23"/>
        <v>225</v>
      </c>
    </row>
    <row r="196" spans="1:26" hidden="1">
      <c r="A196" s="1" t="s">
        <v>349</v>
      </c>
      <c r="B196" s="81" t="s">
        <v>344</v>
      </c>
      <c r="C196" s="171">
        <f>C164+SUM(C175:C194)</f>
        <v>86</v>
      </c>
      <c r="D196" s="171">
        <f t="shared" ref="D196:N196" si="25">D164+SUM(D175:D194)</f>
        <v>84</v>
      </c>
      <c r="E196" s="171">
        <f>E164+SUM(E175:E194)</f>
        <v>86</v>
      </c>
      <c r="F196" s="171">
        <f t="shared" si="25"/>
        <v>85</v>
      </c>
      <c r="G196" s="171">
        <f t="shared" si="25"/>
        <v>79</v>
      </c>
      <c r="H196" s="171">
        <f t="shared" si="25"/>
        <v>79</v>
      </c>
      <c r="I196" s="171">
        <f t="shared" si="25"/>
        <v>80</v>
      </c>
      <c r="J196" s="171">
        <f t="shared" si="25"/>
        <v>76</v>
      </c>
      <c r="K196" s="171">
        <f t="shared" si="25"/>
        <v>75</v>
      </c>
      <c r="L196" s="171">
        <f t="shared" si="25"/>
        <v>75</v>
      </c>
      <c r="M196" s="171">
        <f t="shared" si="25"/>
        <v>75</v>
      </c>
      <c r="N196" s="171">
        <f t="shared" si="25"/>
        <v>75</v>
      </c>
    </row>
    <row r="197" spans="1:26">
      <c r="B197" s="1"/>
    </row>
    <row r="198" spans="1:26">
      <c r="B198" s="1"/>
    </row>
    <row r="199" spans="1:26">
      <c r="B199" s="1"/>
    </row>
    <row r="203" spans="1:26">
      <c r="B203" s="1"/>
    </row>
    <row r="204" spans="1:26">
      <c r="B204" s="1"/>
    </row>
    <row r="210" spans="17:62">
      <c r="Q210" s="1"/>
      <c r="R210" s="4"/>
      <c r="S210" s="1"/>
      <c r="T210" s="1"/>
      <c r="U210" s="1"/>
      <c r="V210" s="4"/>
      <c r="W210" s="1"/>
      <c r="X210" s="1"/>
      <c r="Z210" s="4"/>
      <c r="AB210" s="1"/>
      <c r="AC210" s="1"/>
      <c r="AH210" s="4"/>
      <c r="AL210" s="4"/>
      <c r="AP210" s="4"/>
      <c r="AT210" s="4"/>
      <c r="AX210" s="4"/>
      <c r="BB210" s="4"/>
      <c r="BF210" s="4"/>
      <c r="BJ210" s="4"/>
    </row>
    <row r="211" spans="17:62">
      <c r="Q211" s="1"/>
      <c r="R211" s="4"/>
      <c r="S211" s="1"/>
      <c r="T211" s="1"/>
      <c r="U211" s="1"/>
      <c r="V211" s="4"/>
      <c r="W211" s="1"/>
      <c r="X211" s="1"/>
      <c r="Z211" s="4"/>
      <c r="AB211" s="1"/>
      <c r="AC211" s="1"/>
      <c r="AH211" s="4"/>
      <c r="AL211" s="4"/>
      <c r="AP211" s="4"/>
      <c r="AT211" s="4"/>
      <c r="AX211" s="4"/>
      <c r="BB211" s="4"/>
      <c r="BF211" s="4"/>
      <c r="BJ211" s="4"/>
    </row>
  </sheetData>
  <autoFilter ref="A107:BJ143"/>
  <mergeCells count="3">
    <mergeCell ref="A1:N1"/>
    <mergeCell ref="A106:N106"/>
    <mergeCell ref="A147:A149"/>
  </mergeCells>
  <phoneticPr fontId="5" type="noConversion"/>
  <conditionalFormatting sqref="C170:N170 C177:N177 C179:N179">
    <cfRule type="cellIs" dxfId="474" priority="94" operator="greaterThan">
      <formula>1</formula>
    </cfRule>
  </conditionalFormatting>
  <conditionalFormatting sqref="C184:N184">
    <cfRule type="cellIs" dxfId="473" priority="78" operator="greaterThan">
      <formula>2</formula>
    </cfRule>
  </conditionalFormatting>
  <conditionalFormatting sqref="C185:N185">
    <cfRule type="cellIs" dxfId="472" priority="77" operator="greaterThan">
      <formula>1</formula>
    </cfRule>
  </conditionalFormatting>
  <conditionalFormatting sqref="C186:N186">
    <cfRule type="cellIs" dxfId="471" priority="76" operator="greaterThan">
      <formula>3</formula>
    </cfRule>
  </conditionalFormatting>
  <conditionalFormatting sqref="C187:N187">
    <cfRule type="cellIs" dxfId="470" priority="75" operator="greaterThan">
      <formula>2</formula>
    </cfRule>
  </conditionalFormatting>
  <conditionalFormatting sqref="C188:N188">
    <cfRule type="cellIs" dxfId="469" priority="74" operator="greaterThan">
      <formula>1</formula>
    </cfRule>
  </conditionalFormatting>
  <conditionalFormatting sqref="C189:N189">
    <cfRule type="cellIs" dxfId="468" priority="73" operator="greaterThan">
      <formula>2</formula>
    </cfRule>
  </conditionalFormatting>
  <conditionalFormatting sqref="C190:N190">
    <cfRule type="cellIs" dxfId="467" priority="72" operator="greaterThan">
      <formula>1</formula>
    </cfRule>
  </conditionalFormatting>
  <conditionalFormatting sqref="C191:N191">
    <cfRule type="cellIs" dxfId="466" priority="71" operator="greaterThan">
      <formula>2</formula>
    </cfRule>
  </conditionalFormatting>
  <conditionalFormatting sqref="C193:N193">
    <cfRule type="cellIs" dxfId="465" priority="70" operator="greaterThan">
      <formula>2</formula>
    </cfRule>
  </conditionalFormatting>
  <conditionalFormatting sqref="C163:N163">
    <cfRule type="cellIs" dxfId="464" priority="69" operator="greaterThan">
      <formula>1</formula>
    </cfRule>
  </conditionalFormatting>
  <conditionalFormatting sqref="AA107:AA137">
    <cfRule type="duplicateValues" dxfId="463" priority="67"/>
  </conditionalFormatting>
  <conditionalFormatting sqref="AA138:AA142">
    <cfRule type="duplicateValues" dxfId="462" priority="66"/>
  </conditionalFormatting>
  <conditionalFormatting sqref="AA143">
    <cfRule type="duplicateValues" dxfId="461" priority="65"/>
  </conditionalFormatting>
  <conditionalFormatting sqref="C194:N194">
    <cfRule type="cellIs" dxfId="460" priority="64" operator="greaterThan">
      <formula>2</formula>
    </cfRule>
  </conditionalFormatting>
  <conditionalFormatting sqref="B142">
    <cfRule type="duplicateValues" dxfId="459" priority="63"/>
  </conditionalFormatting>
  <conditionalFormatting sqref="B143">
    <cfRule type="duplicateValues" dxfId="458" priority="62"/>
  </conditionalFormatting>
  <conditionalFormatting sqref="F192">
    <cfRule type="cellIs" dxfId="457" priority="61" operator="greaterThan">
      <formula>2</formula>
    </cfRule>
  </conditionalFormatting>
  <conditionalFormatting sqref="C192:J192">
    <cfRule type="cellIs" dxfId="456" priority="60" operator="greaterThan">
      <formula>2</formula>
    </cfRule>
  </conditionalFormatting>
  <conditionalFormatting sqref="C192:D192 F192:H192 J192">
    <cfRule type="cellIs" dxfId="455" priority="59" operator="greaterThan">
      <formula>2</formula>
    </cfRule>
  </conditionalFormatting>
  <conditionalFormatting sqref="E192 I192">
    <cfRule type="cellIs" dxfId="454" priority="58" operator="greaterThan">
      <formula>3</formula>
    </cfRule>
  </conditionalFormatting>
  <conditionalFormatting sqref="B118">
    <cfRule type="duplicateValues" dxfId="453" priority="57"/>
  </conditionalFormatting>
  <conditionalFormatting sqref="B129">
    <cfRule type="duplicateValues" dxfId="452" priority="56"/>
  </conditionalFormatting>
  <conditionalFormatting sqref="B115">
    <cfRule type="duplicateValues" dxfId="451" priority="55"/>
  </conditionalFormatting>
  <conditionalFormatting sqref="B117">
    <cfRule type="duplicateValues" dxfId="450" priority="54"/>
  </conditionalFormatting>
  <conditionalFormatting sqref="B121">
    <cfRule type="duplicateValues" dxfId="449" priority="53"/>
  </conditionalFormatting>
  <conditionalFormatting sqref="B116">
    <cfRule type="duplicateValues" dxfId="448" priority="52"/>
  </conditionalFormatting>
  <conditionalFormatting sqref="B114">
    <cfRule type="duplicateValues" dxfId="447" priority="51"/>
  </conditionalFormatting>
  <conditionalFormatting sqref="B127">
    <cfRule type="duplicateValues" dxfId="446" priority="50"/>
  </conditionalFormatting>
  <conditionalFormatting sqref="B138">
    <cfRule type="duplicateValues" dxfId="445" priority="49"/>
  </conditionalFormatting>
  <conditionalFormatting sqref="B123">
    <cfRule type="duplicateValues" dxfId="444" priority="48"/>
  </conditionalFormatting>
  <conditionalFormatting sqref="B137">
    <cfRule type="duplicateValues" dxfId="443" priority="47"/>
  </conditionalFormatting>
  <conditionalFormatting sqref="B125">
    <cfRule type="duplicateValues" dxfId="442" priority="46"/>
  </conditionalFormatting>
  <conditionalFormatting sqref="B135">
    <cfRule type="duplicateValues" dxfId="441" priority="45"/>
  </conditionalFormatting>
  <conditionalFormatting sqref="B109">
    <cfRule type="duplicateValues" dxfId="440" priority="44"/>
  </conditionalFormatting>
  <conditionalFormatting sqref="B140">
    <cfRule type="duplicateValues" dxfId="439" priority="43"/>
  </conditionalFormatting>
  <conditionalFormatting sqref="B131">
    <cfRule type="duplicateValues" dxfId="438" priority="42"/>
  </conditionalFormatting>
  <conditionalFormatting sqref="B139">
    <cfRule type="duplicateValues" dxfId="437" priority="41"/>
  </conditionalFormatting>
  <conditionalFormatting sqref="B124">
    <cfRule type="duplicateValues" dxfId="436" priority="40"/>
  </conditionalFormatting>
  <conditionalFormatting sqref="B136">
    <cfRule type="duplicateValues" dxfId="435" priority="39"/>
  </conditionalFormatting>
  <conditionalFormatting sqref="B111">
    <cfRule type="duplicateValues" dxfId="434" priority="38"/>
  </conditionalFormatting>
  <conditionalFormatting sqref="B132">
    <cfRule type="duplicateValues" dxfId="433" priority="37"/>
  </conditionalFormatting>
  <conditionalFormatting sqref="B108">
    <cfRule type="duplicateValues" dxfId="432" priority="36"/>
  </conditionalFormatting>
  <conditionalFormatting sqref="B126">
    <cfRule type="duplicateValues" dxfId="431" priority="35"/>
  </conditionalFormatting>
  <conditionalFormatting sqref="B128">
    <cfRule type="duplicateValues" dxfId="430" priority="34"/>
  </conditionalFormatting>
  <conditionalFormatting sqref="B130">
    <cfRule type="duplicateValues" dxfId="429" priority="33"/>
  </conditionalFormatting>
  <conditionalFormatting sqref="B141">
    <cfRule type="duplicateValues" dxfId="428" priority="32"/>
  </conditionalFormatting>
  <conditionalFormatting sqref="B122">
    <cfRule type="duplicateValues" dxfId="427" priority="31"/>
  </conditionalFormatting>
  <conditionalFormatting sqref="B133">
    <cfRule type="duplicateValues" dxfId="426" priority="30"/>
  </conditionalFormatting>
  <conditionalFormatting sqref="B110">
    <cfRule type="duplicateValues" dxfId="425" priority="29"/>
  </conditionalFormatting>
  <conditionalFormatting sqref="B119">
    <cfRule type="duplicateValues" dxfId="424" priority="28"/>
  </conditionalFormatting>
  <conditionalFormatting sqref="B120">
    <cfRule type="duplicateValues" dxfId="423" priority="27"/>
  </conditionalFormatting>
  <conditionalFormatting sqref="B112">
    <cfRule type="duplicateValues" dxfId="422" priority="26"/>
  </conditionalFormatting>
  <conditionalFormatting sqref="B113">
    <cfRule type="duplicateValues" dxfId="421" priority="25"/>
  </conditionalFormatting>
  <conditionalFormatting sqref="B134">
    <cfRule type="duplicateValues" dxfId="420" priority="24"/>
  </conditionalFormatting>
  <conditionalFormatting sqref="C168:N168">
    <cfRule type="cellIs" dxfId="419" priority="23" operator="greaterThan">
      <formula>1</formula>
    </cfRule>
  </conditionalFormatting>
  <conditionalFormatting sqref="C174:N174">
    <cfRule type="cellIs" dxfId="418" priority="22" operator="greaterThan">
      <formula>1</formula>
    </cfRule>
  </conditionalFormatting>
  <conditionalFormatting sqref="K136">
    <cfRule type="containsText" dxfId="417" priority="1" operator="containsText" text="PGY senior">
      <formula>NOT(ISERROR(SEARCH(("PGY senior"),(K136))))</formula>
    </cfRule>
    <cfRule type="containsText" dxfId="416" priority="2" operator="containsText" text="MICU">
      <formula>NOT(ISERROR(SEARCH(("MICU"),(K136))))</formula>
    </cfRule>
    <cfRule type="containsText" dxfId="415" priority="3" operator="containsText" text="ER">
      <formula>NOT(ISERROR(SEARCH(("ER"),(K136))))</formula>
    </cfRule>
    <cfRule type="containsText" dxfId="414" priority="4" operator="containsText" text="Neuro">
      <formula>NOT(ISERROR(SEARCH(("Neuro"),(K136))))</formula>
    </cfRule>
    <cfRule type="containsText" dxfId="413" priority="5" operator="containsText" text="CCU">
      <formula>NOT(ISERROR(SEARCH(("CCU"),(K136))))</formula>
    </cfRule>
    <cfRule type="containsText" dxfId="412" priority="6" operator="containsText" text="RCC">
      <formula>NOT(ISERROR(SEARCH(("RCC"),(K136))))</formula>
    </cfRule>
    <cfRule type="containsText" dxfId="411" priority="7" operator="containsText" text="振興">
      <formula>NOT(ISERROR(SEARCH(("振興"),(K136))))</formula>
    </cfRule>
  </conditionalFormatting>
  <conditionalFormatting sqref="N128">
    <cfRule type="containsText" dxfId="410" priority="15" operator="containsText" text="PGY senior">
      <formula>NOT(ISERROR(SEARCH(("PGY senior"),(N128))))</formula>
    </cfRule>
    <cfRule type="containsText" dxfId="409" priority="16" operator="containsText" text="MICU">
      <formula>NOT(ISERROR(SEARCH(("MICU"),(N128))))</formula>
    </cfRule>
    <cfRule type="containsText" dxfId="408" priority="17" operator="containsText" text="ER">
      <formula>NOT(ISERROR(SEARCH(("ER"),(N128))))</formula>
    </cfRule>
    <cfRule type="containsText" dxfId="407" priority="18" operator="containsText" text="Neuro">
      <formula>NOT(ISERROR(SEARCH(("Neuro"),(N128))))</formula>
    </cfRule>
    <cfRule type="containsText" dxfId="406" priority="19" operator="containsText" text="CCU">
      <formula>NOT(ISERROR(SEARCH(("CCU"),(N128))))</formula>
    </cfRule>
    <cfRule type="containsText" dxfId="405" priority="20" operator="containsText" text="RCC">
      <formula>NOT(ISERROR(SEARCH(("RCC"),(N128))))</formula>
    </cfRule>
    <cfRule type="containsText" dxfId="404" priority="21" operator="containsText" text="振興">
      <formula>NOT(ISERROR(SEARCH(("振興"),(N128))))</formula>
    </cfRule>
  </conditionalFormatting>
  <conditionalFormatting sqref="M141">
    <cfRule type="containsText" dxfId="403" priority="8" operator="containsText" text="PGY senior">
      <formula>NOT(ISERROR(SEARCH(("PGY senior"),(M141))))</formula>
    </cfRule>
    <cfRule type="containsText" dxfId="402" priority="9" operator="containsText" text="MICU">
      <formula>NOT(ISERROR(SEARCH(("MICU"),(M141))))</formula>
    </cfRule>
    <cfRule type="containsText" dxfId="401" priority="10" operator="containsText" text="ER">
      <formula>NOT(ISERROR(SEARCH(("ER"),(M141))))</formula>
    </cfRule>
    <cfRule type="containsText" dxfId="400" priority="11" operator="containsText" text="Neuro">
      <formula>NOT(ISERROR(SEARCH(("Neuro"),(M141))))</formula>
    </cfRule>
    <cfRule type="containsText" dxfId="399" priority="12" operator="containsText" text="CCU">
      <formula>NOT(ISERROR(SEARCH(("CCU"),(M141))))</formula>
    </cfRule>
    <cfRule type="containsText" dxfId="398" priority="13" operator="containsText" text="RCC">
      <formula>NOT(ISERROR(SEARCH(("RCC"),(M141))))</formula>
    </cfRule>
    <cfRule type="containsText" dxfId="397" priority="14" operator="containsText" text="振興">
      <formula>NOT(ISERROR(SEARCH(("振興"),(M141))))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Q143"/>
  <sheetViews>
    <sheetView zoomScale="70" zoomScaleNormal="70" zoomScaleSheetLayoutView="85" workbookViewId="0">
      <pane xSplit="3" ySplit="2" topLeftCell="D72" activePane="bottomRight" state="frozen"/>
      <selection activeCell="B42" sqref="B42"/>
      <selection pane="topRight" activeCell="B42" sqref="B42"/>
      <selection pane="bottomLeft" activeCell="B42" sqref="B42"/>
      <selection pane="bottomRight" activeCell="J42" sqref="J42"/>
    </sheetView>
  </sheetViews>
  <sheetFormatPr defaultColWidth="10.28515625" defaultRowHeight="16.5"/>
  <cols>
    <col min="1" max="1" width="14" style="349" bestFit="1" customWidth="1"/>
    <col min="2" max="2" width="11.42578125" style="349" bestFit="1" customWidth="1"/>
    <col min="3" max="3" width="8.140625" style="349" bestFit="1" customWidth="1"/>
    <col min="4" max="9" width="28.7109375" style="349" bestFit="1" customWidth="1"/>
    <col min="10" max="10" width="32" style="349" bestFit="1" customWidth="1"/>
    <col min="11" max="11" width="28.7109375" style="349" bestFit="1" customWidth="1"/>
    <col min="12" max="15" width="23" style="349" bestFit="1" customWidth="1"/>
    <col min="16" max="16384" width="10.28515625" style="349"/>
  </cols>
  <sheetData>
    <row r="1" spans="1:17" ht="19.5" thickBot="1">
      <c r="A1" s="721" t="s">
        <v>1553</v>
      </c>
      <c r="B1" s="722"/>
      <c r="C1" s="722"/>
      <c r="D1" s="722"/>
      <c r="E1" s="722"/>
      <c r="F1" s="722"/>
      <c r="G1" s="722"/>
      <c r="H1" s="722"/>
      <c r="I1" s="722"/>
      <c r="J1" s="722"/>
      <c r="K1" s="722"/>
      <c r="L1" s="722"/>
      <c r="M1" s="722"/>
      <c r="N1" s="722"/>
      <c r="O1" s="723"/>
    </row>
    <row r="2" spans="1:17" ht="17.25" thickBot="1">
      <c r="A2" s="350" t="s">
        <v>1279</v>
      </c>
      <c r="B2" s="351" t="s">
        <v>1280</v>
      </c>
      <c r="C2" s="352" t="s">
        <v>915</v>
      </c>
      <c r="D2" s="350">
        <v>11508</v>
      </c>
      <c r="E2" s="350">
        <v>11509</v>
      </c>
      <c r="F2" s="350">
        <v>11510</v>
      </c>
      <c r="G2" s="350">
        <v>11511</v>
      </c>
      <c r="H2" s="350">
        <v>11512</v>
      </c>
      <c r="I2" s="353">
        <v>11601</v>
      </c>
      <c r="J2" s="353">
        <v>11602</v>
      </c>
      <c r="K2" s="353">
        <v>11603</v>
      </c>
      <c r="L2" s="353">
        <v>11604</v>
      </c>
      <c r="M2" s="353">
        <v>11605</v>
      </c>
      <c r="N2" s="353">
        <v>11606</v>
      </c>
      <c r="O2" s="427">
        <v>11607</v>
      </c>
    </row>
    <row r="3" spans="1:17" ht="18.75">
      <c r="A3" s="724" t="s">
        <v>1281</v>
      </c>
      <c r="B3" s="726" t="s">
        <v>1282</v>
      </c>
      <c r="C3" s="354" t="s">
        <v>1283</v>
      </c>
      <c r="D3" s="454" t="s">
        <v>1807</v>
      </c>
      <c r="E3" s="263" t="s">
        <v>1674</v>
      </c>
      <c r="F3" s="236" t="s">
        <v>1641</v>
      </c>
      <c r="G3" s="236" t="s">
        <v>1641</v>
      </c>
      <c r="H3" s="263" t="s">
        <v>1638</v>
      </c>
      <c r="I3" s="263" t="s">
        <v>1674</v>
      </c>
      <c r="J3" s="263" t="s">
        <v>1674</v>
      </c>
      <c r="K3" s="263" t="s">
        <v>1674</v>
      </c>
      <c r="L3" s="263" t="s">
        <v>1674</v>
      </c>
      <c r="M3" s="263" t="s">
        <v>1638</v>
      </c>
      <c r="N3" s="263" t="s">
        <v>1638</v>
      </c>
      <c r="O3" s="619" t="s">
        <v>1638</v>
      </c>
    </row>
    <row r="4" spans="1:17" ht="18.75">
      <c r="A4" s="725"/>
      <c r="B4" s="727"/>
      <c r="C4" s="354" t="s">
        <v>1283</v>
      </c>
      <c r="D4" s="295" t="s">
        <v>1779</v>
      </c>
      <c r="E4" s="6" t="s">
        <v>1651</v>
      </c>
      <c r="F4" s="31" t="s">
        <v>1674</v>
      </c>
      <c r="G4" s="31" t="s">
        <v>1638</v>
      </c>
      <c r="H4" s="31" t="s">
        <v>1663</v>
      </c>
      <c r="I4" s="31" t="s">
        <v>1663</v>
      </c>
      <c r="J4" s="31" t="s">
        <v>1663</v>
      </c>
      <c r="K4" s="31" t="s">
        <v>1663</v>
      </c>
      <c r="L4" s="31" t="s">
        <v>1638</v>
      </c>
      <c r="M4" s="6" t="s">
        <v>1669</v>
      </c>
      <c r="N4" s="82" t="s">
        <v>1645</v>
      </c>
      <c r="O4" s="491" t="s">
        <v>1663</v>
      </c>
    </row>
    <row r="5" spans="1:17" ht="18.75">
      <c r="A5" s="725"/>
      <c r="B5" s="727"/>
      <c r="C5" s="354" t="s">
        <v>1283</v>
      </c>
      <c r="D5" s="488" t="s">
        <v>1674</v>
      </c>
      <c r="E5" s="6" t="s">
        <v>1646</v>
      </c>
      <c r="F5" s="31" t="s">
        <v>1638</v>
      </c>
      <c r="G5" s="6" t="s">
        <v>1667</v>
      </c>
      <c r="H5" s="6" t="s">
        <v>1653</v>
      </c>
      <c r="I5" s="6" t="s">
        <v>1666</v>
      </c>
      <c r="J5" s="6" t="s">
        <v>1820</v>
      </c>
      <c r="K5" s="6" t="s">
        <v>1820</v>
      </c>
      <c r="L5" s="6" t="s">
        <v>1669</v>
      </c>
      <c r="M5" s="6" t="s">
        <v>1661</v>
      </c>
      <c r="N5" s="6" t="s">
        <v>1660</v>
      </c>
      <c r="O5" s="159" t="s">
        <v>1645</v>
      </c>
      <c r="P5" s="362"/>
      <c r="Q5" s="363"/>
    </row>
    <row r="6" spans="1:17" ht="18.75">
      <c r="A6" s="725"/>
      <c r="B6" s="727"/>
      <c r="C6" s="354" t="s">
        <v>1283</v>
      </c>
      <c r="D6" s="295" t="s">
        <v>1651</v>
      </c>
      <c r="E6" s="6" t="s">
        <v>1671</v>
      </c>
      <c r="F6" s="6" t="s">
        <v>1667</v>
      </c>
      <c r="G6" s="6" t="s">
        <v>1654</v>
      </c>
      <c r="H6" s="6" t="s">
        <v>1655</v>
      </c>
      <c r="I6" s="6" t="s">
        <v>1673</v>
      </c>
      <c r="J6" s="6" t="s">
        <v>1666</v>
      </c>
      <c r="K6" s="6" t="s">
        <v>1644</v>
      </c>
      <c r="L6" s="6" t="s">
        <v>1661</v>
      </c>
      <c r="M6" s="6" t="s">
        <v>1781</v>
      </c>
      <c r="N6" s="6" t="s">
        <v>1662</v>
      </c>
      <c r="O6" s="200" t="s">
        <v>1660</v>
      </c>
      <c r="P6" s="363"/>
      <c r="Q6" s="363"/>
    </row>
    <row r="7" spans="1:17" ht="18.75">
      <c r="A7" s="725"/>
      <c r="B7" s="727"/>
      <c r="C7" s="354" t="s">
        <v>1283</v>
      </c>
      <c r="D7" s="295" t="s">
        <v>1646</v>
      </c>
      <c r="E7" s="6" t="s">
        <v>1650</v>
      </c>
      <c r="F7" s="6" t="s">
        <v>1654</v>
      </c>
      <c r="G7" s="6" t="s">
        <v>1670</v>
      </c>
      <c r="H7" s="6" t="s">
        <v>1652</v>
      </c>
      <c r="I7" s="6" t="s">
        <v>1655</v>
      </c>
      <c r="J7" s="6" t="s">
        <v>1673</v>
      </c>
      <c r="K7" s="6" t="s">
        <v>1672</v>
      </c>
      <c r="L7" s="6" t="s">
        <v>1644</v>
      </c>
      <c r="M7" s="11" t="s">
        <v>1647</v>
      </c>
      <c r="N7" s="11" t="s">
        <v>1647</v>
      </c>
      <c r="O7" s="200" t="s">
        <v>1662</v>
      </c>
      <c r="P7" s="365"/>
      <c r="Q7" s="363"/>
    </row>
    <row r="8" spans="1:17" ht="18.75">
      <c r="A8" s="725"/>
      <c r="B8" s="727"/>
      <c r="C8" s="354" t="s">
        <v>1283</v>
      </c>
      <c r="D8" s="295" t="s">
        <v>1671</v>
      </c>
      <c r="E8" s="58" t="s">
        <v>1744</v>
      </c>
      <c r="F8" s="6" t="s">
        <v>1670</v>
      </c>
      <c r="G8" s="6" t="s">
        <v>1653</v>
      </c>
      <c r="H8" s="58" t="s">
        <v>1776</v>
      </c>
      <c r="I8" s="58" t="s">
        <v>1722</v>
      </c>
      <c r="J8" s="6" t="s">
        <v>1672</v>
      </c>
      <c r="K8" s="6" t="s">
        <v>1658</v>
      </c>
      <c r="L8" s="6" t="s">
        <v>1781</v>
      </c>
      <c r="M8" s="6" t="s">
        <v>1668</v>
      </c>
      <c r="N8" s="6" t="s">
        <v>1665</v>
      </c>
      <c r="O8" s="200" t="s">
        <v>1665</v>
      </c>
      <c r="P8" s="362"/>
      <c r="Q8" s="363"/>
    </row>
    <row r="9" spans="1:17" ht="18.75">
      <c r="A9" s="725"/>
      <c r="B9" s="727"/>
      <c r="C9" s="354" t="s">
        <v>1283</v>
      </c>
      <c r="D9" s="295" t="s">
        <v>1650</v>
      </c>
      <c r="E9" s="58" t="s">
        <v>1689</v>
      </c>
      <c r="F9" s="58" t="s">
        <v>1744</v>
      </c>
      <c r="G9" s="6" t="s">
        <v>1652</v>
      </c>
      <c r="H9" s="58" t="s">
        <v>1722</v>
      </c>
      <c r="I9" s="58" t="s">
        <v>1677</v>
      </c>
      <c r="J9" s="6" t="s">
        <v>1658</v>
      </c>
      <c r="K9" s="57" t="s">
        <v>1846</v>
      </c>
      <c r="L9" s="6" t="s">
        <v>1668</v>
      </c>
      <c r="M9" s="58" t="s">
        <v>1692</v>
      </c>
      <c r="N9" s="6" t="s">
        <v>1800</v>
      </c>
      <c r="O9" s="200" t="s">
        <v>1800</v>
      </c>
      <c r="P9" s="363"/>
      <c r="Q9" s="363"/>
    </row>
    <row r="10" spans="1:17" ht="18.75">
      <c r="A10" s="725"/>
      <c r="B10" s="727"/>
      <c r="C10" s="354" t="s">
        <v>1283</v>
      </c>
      <c r="D10" s="199" t="s">
        <v>1689</v>
      </c>
      <c r="E10" s="58" t="s">
        <v>1717</v>
      </c>
      <c r="F10" s="58" t="s">
        <v>1719</v>
      </c>
      <c r="G10" s="58" t="s">
        <v>1776</v>
      </c>
      <c r="H10" s="58" t="s">
        <v>1677</v>
      </c>
      <c r="I10" s="58" t="s">
        <v>1711</v>
      </c>
      <c r="J10" s="58" t="s">
        <v>1693</v>
      </c>
      <c r="K10" s="58" t="s">
        <v>1693</v>
      </c>
      <c r="L10" s="58" t="s">
        <v>1692</v>
      </c>
      <c r="M10" s="58" t="s">
        <v>1675</v>
      </c>
      <c r="N10" s="58" t="s">
        <v>1714</v>
      </c>
      <c r="O10" s="197" t="s">
        <v>1714</v>
      </c>
      <c r="P10" s="362"/>
      <c r="Q10" s="363"/>
    </row>
    <row r="11" spans="1:17" ht="18.75">
      <c r="A11" s="725"/>
      <c r="B11" s="727"/>
      <c r="C11" s="354" t="s">
        <v>1283</v>
      </c>
      <c r="D11" s="199" t="s">
        <v>1717</v>
      </c>
      <c r="E11" s="58" t="s">
        <v>1694</v>
      </c>
      <c r="F11" s="58" t="s">
        <v>1705</v>
      </c>
      <c r="G11" s="58" t="s">
        <v>1719</v>
      </c>
      <c r="H11" s="58" t="s">
        <v>1711</v>
      </c>
      <c r="I11" s="58" t="s">
        <v>1727</v>
      </c>
      <c r="J11" s="58" t="s">
        <v>1676</v>
      </c>
      <c r="K11" s="58" t="s">
        <v>1676</v>
      </c>
      <c r="L11" s="58" t="s">
        <v>1700</v>
      </c>
      <c r="M11" s="58" t="s">
        <v>1696</v>
      </c>
      <c r="N11" s="58" t="s">
        <v>1709</v>
      </c>
      <c r="O11" s="197" t="s">
        <v>1709</v>
      </c>
      <c r="P11" s="365"/>
      <c r="Q11" s="363"/>
    </row>
    <row r="12" spans="1:17" ht="18.75">
      <c r="A12" s="725"/>
      <c r="B12" s="727"/>
      <c r="C12" s="354" t="s">
        <v>1283</v>
      </c>
      <c r="D12" s="199" t="s">
        <v>1694</v>
      </c>
      <c r="E12" s="58" t="s">
        <v>1695</v>
      </c>
      <c r="F12" s="58" t="s">
        <v>1697</v>
      </c>
      <c r="G12" s="58" t="s">
        <v>1705</v>
      </c>
      <c r="H12" s="58" t="s">
        <v>1727</v>
      </c>
      <c r="I12" s="58" t="s">
        <v>1720</v>
      </c>
      <c r="J12" s="58" t="s">
        <v>1701</v>
      </c>
      <c r="K12" s="58" t="s">
        <v>1701</v>
      </c>
      <c r="L12" s="58" t="s">
        <v>1696</v>
      </c>
      <c r="M12" s="58" t="s">
        <v>1679</v>
      </c>
      <c r="N12" s="58" t="s">
        <v>1675</v>
      </c>
      <c r="O12" s="197" t="s">
        <v>1710</v>
      </c>
      <c r="P12" s="363"/>
      <c r="Q12" s="363"/>
    </row>
    <row r="13" spans="1:17" ht="18.75">
      <c r="A13" s="725"/>
      <c r="B13" s="727"/>
      <c r="C13" s="354" t="s">
        <v>1283</v>
      </c>
      <c r="D13" s="199" t="s">
        <v>1695</v>
      </c>
      <c r="E13" s="58" t="s">
        <v>1718</v>
      </c>
      <c r="F13" s="58" t="s">
        <v>1707</v>
      </c>
      <c r="G13" s="58" t="s">
        <v>1697</v>
      </c>
      <c r="H13" s="58" t="s">
        <v>1678</v>
      </c>
      <c r="I13" s="58" t="s">
        <v>1678</v>
      </c>
      <c r="J13" s="58" t="s">
        <v>1702</v>
      </c>
      <c r="K13" s="58" t="s">
        <v>1702</v>
      </c>
      <c r="L13" s="58" t="s">
        <v>1679</v>
      </c>
      <c r="M13" s="58" t="s">
        <v>1712</v>
      </c>
      <c r="N13" s="58" t="s">
        <v>1710</v>
      </c>
      <c r="O13" s="197" t="s">
        <v>1706</v>
      </c>
      <c r="P13" s="363"/>
      <c r="Q13" s="363"/>
    </row>
    <row r="14" spans="1:17" ht="18.75">
      <c r="A14" s="725"/>
      <c r="B14" s="727"/>
      <c r="C14" s="354" t="s">
        <v>1283</v>
      </c>
      <c r="D14" s="199" t="s">
        <v>1718</v>
      </c>
      <c r="E14" s="58" t="s">
        <v>1721</v>
      </c>
      <c r="F14" s="58" t="s">
        <v>1721</v>
      </c>
      <c r="G14" s="58" t="s">
        <v>1707</v>
      </c>
      <c r="H14" s="58" t="s">
        <v>1716</v>
      </c>
      <c r="I14" s="58" t="s">
        <v>1724</v>
      </c>
      <c r="J14" s="58" t="s">
        <v>1720</v>
      </c>
      <c r="K14" s="58" t="s">
        <v>1703</v>
      </c>
      <c r="L14" s="58" t="s">
        <v>1712</v>
      </c>
      <c r="M14" s="58" t="s">
        <v>1723</v>
      </c>
      <c r="N14" s="58" t="s">
        <v>1706</v>
      </c>
      <c r="O14" s="197" t="s">
        <v>1690</v>
      </c>
    </row>
    <row r="15" spans="1:17" ht="18.75">
      <c r="A15" s="725"/>
      <c r="B15" s="727"/>
      <c r="C15" s="354" t="s">
        <v>1283</v>
      </c>
      <c r="D15" s="199" t="s">
        <v>1715</v>
      </c>
      <c r="E15" s="58" t="s">
        <v>1715</v>
      </c>
      <c r="F15" s="360"/>
      <c r="G15" s="58" t="s">
        <v>1716</v>
      </c>
      <c r="H15" s="58" t="s">
        <v>1724</v>
      </c>
      <c r="I15" s="367"/>
      <c r="J15" s="58" t="s">
        <v>1698</v>
      </c>
      <c r="K15" s="58" t="s">
        <v>1698</v>
      </c>
      <c r="L15" s="58" t="s">
        <v>1723</v>
      </c>
      <c r="M15" s="360"/>
      <c r="N15" s="58" t="s">
        <v>1690</v>
      </c>
      <c r="O15" s="370"/>
    </row>
    <row r="16" spans="1:17" ht="18.75">
      <c r="A16" s="725"/>
      <c r="B16" s="727"/>
      <c r="C16" s="354" t="s">
        <v>1283</v>
      </c>
      <c r="D16" s="368"/>
      <c r="E16" s="360"/>
      <c r="F16" s="367"/>
      <c r="G16" s="367"/>
      <c r="H16" s="367"/>
      <c r="I16" s="367"/>
      <c r="J16" s="367"/>
      <c r="K16" s="360"/>
      <c r="L16" s="58" t="s">
        <v>1703</v>
      </c>
      <c r="M16" s="358"/>
      <c r="N16" s="360"/>
      <c r="O16" s="370"/>
    </row>
    <row r="17" spans="1:15">
      <c r="A17" s="725"/>
      <c r="B17" s="727"/>
      <c r="C17" s="354" t="s">
        <v>1283</v>
      </c>
      <c r="D17" s="357"/>
      <c r="E17" s="367"/>
      <c r="F17" s="358"/>
      <c r="G17" s="367"/>
      <c r="H17" s="367"/>
      <c r="I17" s="367"/>
      <c r="J17" s="367"/>
      <c r="K17" s="369"/>
      <c r="L17" s="367"/>
      <c r="M17" s="369"/>
      <c r="N17" s="367"/>
      <c r="O17" s="371"/>
    </row>
    <row r="18" spans="1:15">
      <c r="A18" s="725"/>
      <c r="B18" s="727"/>
      <c r="C18" s="354" t="s">
        <v>1283</v>
      </c>
      <c r="D18" s="357"/>
      <c r="E18" s="367"/>
      <c r="F18" s="358"/>
      <c r="G18" s="358"/>
      <c r="H18" s="369"/>
      <c r="I18" s="367"/>
      <c r="J18" s="367"/>
      <c r="K18" s="367"/>
      <c r="L18" s="369"/>
      <c r="M18" s="369"/>
      <c r="N18" s="367"/>
      <c r="O18" s="371"/>
    </row>
    <row r="19" spans="1:15" ht="17.25" thickBot="1">
      <c r="A19" s="725"/>
      <c r="B19" s="727"/>
      <c r="C19" s="372" t="s">
        <v>1283</v>
      </c>
      <c r="D19" s="373"/>
      <c r="E19" s="374"/>
      <c r="F19" s="374"/>
      <c r="G19" s="375"/>
      <c r="H19" s="375"/>
      <c r="I19" s="375"/>
      <c r="J19" s="375"/>
      <c r="K19" s="375"/>
      <c r="L19" s="376"/>
      <c r="M19" s="376"/>
      <c r="N19" s="374"/>
      <c r="O19" s="377"/>
    </row>
    <row r="20" spans="1:15" ht="16.5" customHeight="1">
      <c r="A20" s="715" t="s">
        <v>1284</v>
      </c>
      <c r="B20" s="717" t="s">
        <v>913</v>
      </c>
      <c r="C20" s="378" t="s">
        <v>1283</v>
      </c>
      <c r="D20" s="454" t="s">
        <v>1742</v>
      </c>
      <c r="E20" s="571" t="s">
        <v>1845</v>
      </c>
      <c r="F20" s="379"/>
      <c r="G20" s="236" t="s">
        <v>1669</v>
      </c>
      <c r="H20" s="380"/>
      <c r="I20" s="380"/>
      <c r="J20" s="571" t="s">
        <v>1844</v>
      </c>
      <c r="K20" s="381"/>
      <c r="L20" s="571" t="s">
        <v>1843</v>
      </c>
      <c r="M20" s="380"/>
      <c r="N20" s="236" t="s">
        <v>1661</v>
      </c>
      <c r="O20" s="382"/>
    </row>
    <row r="21" spans="1:15" ht="18.75">
      <c r="A21" s="728"/>
      <c r="B21" s="730"/>
      <c r="C21" s="383" t="s">
        <v>1283</v>
      </c>
      <c r="D21" s="618" t="s">
        <v>1842</v>
      </c>
      <c r="E21" s="57" t="s">
        <v>1708</v>
      </c>
      <c r="F21" s="358"/>
      <c r="G21" s="57" t="s">
        <v>1841</v>
      </c>
      <c r="H21" s="358"/>
      <c r="I21" s="358"/>
      <c r="J21" s="358"/>
      <c r="K21" s="358"/>
      <c r="L21" s="367"/>
      <c r="M21" s="358"/>
      <c r="N21" s="358"/>
      <c r="O21" s="359"/>
    </row>
    <row r="22" spans="1:15" s="386" customFormat="1" ht="17.25" customHeight="1">
      <c r="A22" s="728"/>
      <c r="B22" s="730"/>
      <c r="C22" s="383" t="s">
        <v>1283</v>
      </c>
      <c r="D22" s="618" t="s">
        <v>1708</v>
      </c>
      <c r="E22" s="617"/>
      <c r="F22" s="385"/>
      <c r="G22" s="384"/>
      <c r="H22" s="384"/>
      <c r="I22" s="358"/>
      <c r="J22" s="384"/>
      <c r="K22" s="360"/>
      <c r="L22" s="384"/>
      <c r="M22" s="384"/>
      <c r="N22" s="384"/>
      <c r="O22" s="359"/>
    </row>
    <row r="23" spans="1:15" s="386" customFormat="1" ht="17.25" customHeight="1" thickBot="1">
      <c r="A23" s="729"/>
      <c r="B23" s="731"/>
      <c r="C23" s="387" t="s">
        <v>1283</v>
      </c>
      <c r="D23" s="388"/>
      <c r="E23" s="389"/>
      <c r="F23" s="374"/>
      <c r="G23" s="389"/>
      <c r="H23" s="374"/>
      <c r="I23" s="374"/>
      <c r="J23" s="389"/>
      <c r="K23" s="390"/>
      <c r="L23" s="389"/>
      <c r="M23" s="376"/>
      <c r="N23" s="374"/>
      <c r="O23" s="391"/>
    </row>
    <row r="24" spans="1:15" s="363" customFormat="1" ht="17.25" thickBot="1">
      <c r="A24" s="719" t="s">
        <v>1285</v>
      </c>
      <c r="B24" s="720"/>
      <c r="C24" s="720"/>
      <c r="D24" s="564">
        <f t="shared" ref="D24:O24" si="0">COUNTA(D3:D23)</f>
        <v>16</v>
      </c>
      <c r="E24" s="564">
        <f t="shared" si="0"/>
        <v>15</v>
      </c>
      <c r="F24" s="564">
        <f t="shared" si="0"/>
        <v>12</v>
      </c>
      <c r="G24" s="564">
        <f t="shared" si="0"/>
        <v>15</v>
      </c>
      <c r="H24" s="564">
        <f t="shared" si="0"/>
        <v>13</v>
      </c>
      <c r="I24" s="564">
        <f t="shared" si="0"/>
        <v>12</v>
      </c>
      <c r="J24" s="564">
        <f t="shared" si="0"/>
        <v>14</v>
      </c>
      <c r="K24" s="564">
        <f t="shared" si="0"/>
        <v>13</v>
      </c>
      <c r="L24" s="564">
        <f t="shared" si="0"/>
        <v>15</v>
      </c>
      <c r="M24" s="564">
        <f t="shared" si="0"/>
        <v>12</v>
      </c>
      <c r="N24" s="564">
        <f t="shared" si="0"/>
        <v>14</v>
      </c>
      <c r="O24" s="564">
        <f t="shared" si="0"/>
        <v>12</v>
      </c>
    </row>
    <row r="25" spans="1:15" ht="18.75">
      <c r="A25" s="724" t="s">
        <v>1286</v>
      </c>
      <c r="B25" s="733" t="s">
        <v>1282</v>
      </c>
      <c r="C25" s="378" t="s">
        <v>1283</v>
      </c>
      <c r="D25" s="454" t="s">
        <v>1796</v>
      </c>
      <c r="E25" s="616" t="s">
        <v>1840</v>
      </c>
      <c r="F25" s="616" t="s">
        <v>1840</v>
      </c>
      <c r="G25" s="236" t="s">
        <v>1779</v>
      </c>
      <c r="H25" s="236" t="s">
        <v>1779</v>
      </c>
      <c r="I25" s="236" t="s">
        <v>1779</v>
      </c>
      <c r="J25" s="615" t="s">
        <v>1648</v>
      </c>
      <c r="K25" s="162" t="s">
        <v>1645</v>
      </c>
      <c r="L25" s="615" t="s">
        <v>1656</v>
      </c>
      <c r="M25" s="615" t="s">
        <v>1656</v>
      </c>
      <c r="N25" s="615" t="s">
        <v>1656</v>
      </c>
      <c r="O25" s="614" t="s">
        <v>1656</v>
      </c>
    </row>
    <row r="26" spans="1:15" ht="18.75">
      <c r="A26" s="725"/>
      <c r="B26" s="734"/>
      <c r="C26" s="383" t="s">
        <v>1283</v>
      </c>
      <c r="D26" s="312" t="s">
        <v>1840</v>
      </c>
      <c r="E26" s="313" t="s">
        <v>1838</v>
      </c>
      <c r="F26" s="313" t="s">
        <v>1838</v>
      </c>
      <c r="G26" s="313" t="s">
        <v>1840</v>
      </c>
      <c r="H26" s="313" t="s">
        <v>1840</v>
      </c>
      <c r="I26" s="313" t="s">
        <v>1840</v>
      </c>
      <c r="J26" s="180" t="s">
        <v>1659</v>
      </c>
      <c r="K26" s="6" t="s">
        <v>1651</v>
      </c>
      <c r="L26" s="180" t="s">
        <v>1648</v>
      </c>
      <c r="M26" s="180" t="s">
        <v>1648</v>
      </c>
      <c r="N26" s="180" t="s">
        <v>1648</v>
      </c>
      <c r="O26" s="305" t="s">
        <v>1648</v>
      </c>
    </row>
    <row r="27" spans="1:15" ht="18.75">
      <c r="A27" s="725"/>
      <c r="B27" s="734"/>
      <c r="C27" s="383" t="s">
        <v>1283</v>
      </c>
      <c r="D27" s="312" t="s">
        <v>1839</v>
      </c>
      <c r="E27" s="313" t="s">
        <v>1837</v>
      </c>
      <c r="F27" s="313" t="s">
        <v>1837</v>
      </c>
      <c r="G27" s="313" t="s">
        <v>1838</v>
      </c>
      <c r="H27" s="313" t="s">
        <v>1838</v>
      </c>
      <c r="I27" s="180" t="s">
        <v>1648</v>
      </c>
      <c r="J27" s="180" t="s">
        <v>1687</v>
      </c>
      <c r="K27" s="6" t="s">
        <v>1671</v>
      </c>
      <c r="L27" s="6" t="s">
        <v>1654</v>
      </c>
      <c r="M27" s="180" t="s">
        <v>1741</v>
      </c>
      <c r="N27" s="180" t="s">
        <v>1741</v>
      </c>
      <c r="O27" s="305" t="s">
        <v>1741</v>
      </c>
    </row>
    <row r="28" spans="1:15" ht="18.75">
      <c r="A28" s="725"/>
      <c r="B28" s="734"/>
      <c r="C28" s="383" t="s">
        <v>1283</v>
      </c>
      <c r="D28" s="296" t="s">
        <v>1656</v>
      </c>
      <c r="E28" s="180" t="s">
        <v>1656</v>
      </c>
      <c r="F28" s="180" t="s">
        <v>1656</v>
      </c>
      <c r="G28" s="313" t="s">
        <v>1837</v>
      </c>
      <c r="H28" s="180" t="s">
        <v>1648</v>
      </c>
      <c r="I28" s="180" t="s">
        <v>1659</v>
      </c>
      <c r="J28" s="180" t="s">
        <v>1689</v>
      </c>
      <c r="K28" s="6" t="s">
        <v>1670</v>
      </c>
      <c r="L28" s="6" t="s">
        <v>1651</v>
      </c>
      <c r="M28" s="180" t="s">
        <v>1659</v>
      </c>
      <c r="N28" s="180" t="s">
        <v>1659</v>
      </c>
      <c r="O28" s="305" t="s">
        <v>1659</v>
      </c>
    </row>
    <row r="29" spans="1:15" ht="18.75">
      <c r="A29" s="725"/>
      <c r="B29" s="734"/>
      <c r="C29" s="383" t="s">
        <v>1283</v>
      </c>
      <c r="D29" s="296" t="s">
        <v>1741</v>
      </c>
      <c r="E29" s="180" t="s">
        <v>1741</v>
      </c>
      <c r="F29" s="180" t="s">
        <v>1741</v>
      </c>
      <c r="G29" s="180" t="s">
        <v>1741</v>
      </c>
      <c r="H29" s="180" t="s">
        <v>1659</v>
      </c>
      <c r="I29" s="180" t="s">
        <v>1687</v>
      </c>
      <c r="J29" s="6" t="s">
        <v>1667</v>
      </c>
      <c r="K29" s="6" t="s">
        <v>1650</v>
      </c>
      <c r="L29" s="6" t="s">
        <v>1671</v>
      </c>
      <c r="M29" s="180" t="s">
        <v>1768</v>
      </c>
      <c r="N29" s="180" t="s">
        <v>1657</v>
      </c>
      <c r="O29" s="305" t="s">
        <v>1657</v>
      </c>
    </row>
    <row r="30" spans="1:15" ht="18.75">
      <c r="A30" s="725"/>
      <c r="B30" s="734"/>
      <c r="C30" s="383" t="s">
        <v>1283</v>
      </c>
      <c r="D30" s="295" t="s">
        <v>1669</v>
      </c>
      <c r="E30" s="6" t="s">
        <v>1820</v>
      </c>
      <c r="F30" s="180" t="s">
        <v>1657</v>
      </c>
      <c r="G30" s="180" t="s">
        <v>1659</v>
      </c>
      <c r="H30" s="180" t="s">
        <v>1657</v>
      </c>
      <c r="I30" s="180" t="s">
        <v>1689</v>
      </c>
      <c r="J30" s="82" t="s">
        <v>1645</v>
      </c>
      <c r="K30" s="6" t="s">
        <v>1653</v>
      </c>
      <c r="L30" s="6" t="s">
        <v>1670</v>
      </c>
      <c r="M30" s="180" t="s">
        <v>1764</v>
      </c>
      <c r="N30" s="180" t="s">
        <v>1768</v>
      </c>
      <c r="O30" s="305" t="s">
        <v>1768</v>
      </c>
    </row>
    <row r="31" spans="1:15" ht="18.75">
      <c r="A31" s="725"/>
      <c r="B31" s="734"/>
      <c r="C31" s="383" t="s">
        <v>1283</v>
      </c>
      <c r="D31" s="295" t="s">
        <v>1666</v>
      </c>
      <c r="E31" s="6" t="s">
        <v>1669</v>
      </c>
      <c r="F31" s="6" t="s">
        <v>1820</v>
      </c>
      <c r="G31" s="180" t="s">
        <v>1657</v>
      </c>
      <c r="H31" s="180" t="s">
        <v>1687</v>
      </c>
      <c r="I31" s="6" t="s">
        <v>1667</v>
      </c>
      <c r="J31" s="6" t="s">
        <v>1671</v>
      </c>
      <c r="K31" s="11" t="s">
        <v>1647</v>
      </c>
      <c r="L31" s="6" t="s">
        <v>1650</v>
      </c>
      <c r="M31" s="6" t="s">
        <v>1644</v>
      </c>
      <c r="N31" s="180" t="s">
        <v>1764</v>
      </c>
      <c r="O31" s="305" t="s">
        <v>1764</v>
      </c>
    </row>
    <row r="32" spans="1:15" ht="18.75">
      <c r="A32" s="725"/>
      <c r="B32" s="734"/>
      <c r="C32" s="383" t="s">
        <v>1283</v>
      </c>
      <c r="D32" s="295" t="s">
        <v>1661</v>
      </c>
      <c r="E32" s="6" t="s">
        <v>1666</v>
      </c>
      <c r="F32" s="6" t="s">
        <v>1669</v>
      </c>
      <c r="G32" s="6" t="s">
        <v>1820</v>
      </c>
      <c r="H32" s="180" t="s">
        <v>1689</v>
      </c>
      <c r="I32" s="82" t="s">
        <v>1645</v>
      </c>
      <c r="J32" s="6" t="s">
        <v>1650</v>
      </c>
      <c r="K32" s="6" t="s">
        <v>1652</v>
      </c>
      <c r="L32" s="6" t="s">
        <v>1653</v>
      </c>
      <c r="M32" s="6" t="s">
        <v>1654</v>
      </c>
      <c r="N32" s="6" t="s">
        <v>1644</v>
      </c>
      <c r="O32" s="200" t="s">
        <v>1644</v>
      </c>
    </row>
    <row r="33" spans="1:15" ht="18.75">
      <c r="A33" s="725"/>
      <c r="B33" s="734"/>
      <c r="C33" s="383" t="s">
        <v>1283</v>
      </c>
      <c r="D33" s="295" t="s">
        <v>1662</v>
      </c>
      <c r="E33" s="6" t="s">
        <v>1661</v>
      </c>
      <c r="F33" s="6" t="s">
        <v>1666</v>
      </c>
      <c r="G33" s="6" t="s">
        <v>1660</v>
      </c>
      <c r="H33" s="6" t="s">
        <v>1667</v>
      </c>
      <c r="I33" s="6" t="s">
        <v>1660</v>
      </c>
      <c r="J33" s="6" t="s">
        <v>1653</v>
      </c>
      <c r="K33" s="58" t="s">
        <v>1776</v>
      </c>
      <c r="L33" s="11" t="s">
        <v>1647</v>
      </c>
      <c r="M33" s="6" t="s">
        <v>1651</v>
      </c>
      <c r="N33" s="6" t="s">
        <v>1654</v>
      </c>
      <c r="O33" s="200" t="s">
        <v>1646</v>
      </c>
    </row>
    <row r="34" spans="1:15" ht="18.75">
      <c r="A34" s="725"/>
      <c r="B34" s="734"/>
      <c r="C34" s="383" t="s">
        <v>1283</v>
      </c>
      <c r="D34" s="295" t="s">
        <v>1673</v>
      </c>
      <c r="E34" s="6" t="s">
        <v>1662</v>
      </c>
      <c r="F34" s="6" t="s">
        <v>1661</v>
      </c>
      <c r="G34" s="6" t="s">
        <v>1781</v>
      </c>
      <c r="H34" s="6" t="s">
        <v>1660</v>
      </c>
      <c r="I34" s="6" t="s">
        <v>1781</v>
      </c>
      <c r="J34" s="11" t="s">
        <v>1647</v>
      </c>
      <c r="K34" s="58" t="s">
        <v>1692</v>
      </c>
      <c r="L34" s="11" t="s">
        <v>1652</v>
      </c>
      <c r="M34" s="6" t="s">
        <v>1646</v>
      </c>
      <c r="N34" s="6" t="s">
        <v>1646</v>
      </c>
      <c r="O34" s="314" t="s">
        <v>1836</v>
      </c>
    </row>
    <row r="35" spans="1:15" ht="18.75">
      <c r="A35" s="725"/>
      <c r="B35" s="734"/>
      <c r="C35" s="383" t="s">
        <v>1283</v>
      </c>
      <c r="D35" s="199" t="s">
        <v>1686</v>
      </c>
      <c r="E35" s="6" t="s">
        <v>1673</v>
      </c>
      <c r="F35" s="6" t="s">
        <v>1662</v>
      </c>
      <c r="G35" s="6" t="s">
        <v>1672</v>
      </c>
      <c r="H35" s="6" t="s">
        <v>1781</v>
      </c>
      <c r="I35" s="6" t="s">
        <v>1665</v>
      </c>
      <c r="J35" s="58" t="s">
        <v>1776</v>
      </c>
      <c r="K35" s="58" t="s">
        <v>1719</v>
      </c>
      <c r="L35" s="58" t="s">
        <v>1719</v>
      </c>
      <c r="M35" s="6" t="s">
        <v>1670</v>
      </c>
      <c r="N35" s="58" t="s">
        <v>1705</v>
      </c>
      <c r="O35" s="197" t="s">
        <v>1693</v>
      </c>
    </row>
    <row r="36" spans="1:15" ht="18.75">
      <c r="A36" s="725"/>
      <c r="B36" s="734"/>
      <c r="C36" s="383" t="s">
        <v>1283</v>
      </c>
      <c r="D36" s="199" t="s">
        <v>1791</v>
      </c>
      <c r="E36" s="6" t="s">
        <v>1672</v>
      </c>
      <c r="F36" s="6" t="s">
        <v>1673</v>
      </c>
      <c r="G36" s="6" t="s">
        <v>1665</v>
      </c>
      <c r="H36" s="6" t="s">
        <v>1665</v>
      </c>
      <c r="I36" s="58" t="s">
        <v>1776</v>
      </c>
      <c r="J36" s="58" t="s">
        <v>1692</v>
      </c>
      <c r="K36" s="58" t="s">
        <v>1717</v>
      </c>
      <c r="L36" s="58" t="s">
        <v>1717</v>
      </c>
      <c r="M36" s="6" t="s">
        <v>1652</v>
      </c>
      <c r="N36" s="58" t="s">
        <v>1693</v>
      </c>
      <c r="O36" s="197" t="s">
        <v>1697</v>
      </c>
    </row>
    <row r="37" spans="1:15" ht="18.75">
      <c r="A37" s="725"/>
      <c r="B37" s="734"/>
      <c r="C37" s="383" t="s">
        <v>1283</v>
      </c>
      <c r="D37" s="199" t="s">
        <v>1744</v>
      </c>
      <c r="E37" s="58" t="s">
        <v>1742</v>
      </c>
      <c r="F37" s="6" t="s">
        <v>1672</v>
      </c>
      <c r="G37" s="58" t="s">
        <v>1742</v>
      </c>
      <c r="H37" s="58" t="s">
        <v>1714</v>
      </c>
      <c r="I37" s="58" t="s">
        <v>1692</v>
      </c>
      <c r="J37" s="58" t="s">
        <v>1719</v>
      </c>
      <c r="K37" s="58" t="s">
        <v>1695</v>
      </c>
      <c r="L37" s="58" t="s">
        <v>1677</v>
      </c>
      <c r="M37" s="58" t="s">
        <v>1705</v>
      </c>
      <c r="N37" s="58" t="s">
        <v>1697</v>
      </c>
      <c r="O37" s="197" t="s">
        <v>1711</v>
      </c>
    </row>
    <row r="38" spans="1:15" ht="18.75">
      <c r="A38" s="725"/>
      <c r="B38" s="734"/>
      <c r="C38" s="383" t="s">
        <v>1283</v>
      </c>
      <c r="D38" s="199" t="s">
        <v>1733</v>
      </c>
      <c r="E38" s="58" t="s">
        <v>1791</v>
      </c>
      <c r="F38" s="58" t="s">
        <v>1742</v>
      </c>
      <c r="G38" s="58" t="s">
        <v>1714</v>
      </c>
      <c r="H38" s="58" t="s">
        <v>1675</v>
      </c>
      <c r="I38" s="58" t="s">
        <v>1714</v>
      </c>
      <c r="J38" s="58" t="s">
        <v>1717</v>
      </c>
      <c r="K38" s="58" t="s">
        <v>1677</v>
      </c>
      <c r="L38" s="58" t="s">
        <v>1718</v>
      </c>
      <c r="M38" s="58" t="s">
        <v>1693</v>
      </c>
      <c r="N38" s="58" t="s">
        <v>1711</v>
      </c>
      <c r="O38" s="197" t="s">
        <v>1701</v>
      </c>
    </row>
    <row r="39" spans="1:15" ht="18.75">
      <c r="A39" s="725"/>
      <c r="B39" s="734"/>
      <c r="C39" s="383" t="s">
        <v>1283</v>
      </c>
      <c r="D39" s="199" t="s">
        <v>1687</v>
      </c>
      <c r="E39" s="58" t="s">
        <v>1709</v>
      </c>
      <c r="F39" s="58" t="s">
        <v>1791</v>
      </c>
      <c r="G39" s="58" t="s">
        <v>1675</v>
      </c>
      <c r="H39" s="58" t="s">
        <v>1694</v>
      </c>
      <c r="I39" s="58" t="s">
        <v>1675</v>
      </c>
      <c r="J39" s="58" t="s">
        <v>1694</v>
      </c>
      <c r="K39" s="58" t="s">
        <v>1718</v>
      </c>
      <c r="L39" s="58" t="s">
        <v>1727</v>
      </c>
      <c r="M39" s="58" t="s">
        <v>1697</v>
      </c>
      <c r="N39" s="58" t="s">
        <v>1701</v>
      </c>
      <c r="O39" s="197" t="s">
        <v>1707</v>
      </c>
    </row>
    <row r="40" spans="1:15" ht="18.75">
      <c r="A40" s="725"/>
      <c r="B40" s="734"/>
      <c r="C40" s="383" t="s">
        <v>1283</v>
      </c>
      <c r="D40" s="199" t="s">
        <v>1709</v>
      </c>
      <c r="E40" s="58" t="s">
        <v>1710</v>
      </c>
      <c r="F40" s="58" t="s">
        <v>1709</v>
      </c>
      <c r="G40" s="58" t="s">
        <v>1676</v>
      </c>
      <c r="H40" s="58" t="s">
        <v>1676</v>
      </c>
      <c r="I40" s="58" t="s">
        <v>1694</v>
      </c>
      <c r="J40" s="58" t="s">
        <v>1695</v>
      </c>
      <c r="K40" s="58" t="s">
        <v>1727</v>
      </c>
      <c r="L40" s="58" t="s">
        <v>1721</v>
      </c>
      <c r="M40" s="58" t="s">
        <v>1677</v>
      </c>
      <c r="N40" s="58" t="s">
        <v>1707</v>
      </c>
      <c r="O40" s="197" t="s">
        <v>1703</v>
      </c>
    </row>
    <row r="41" spans="1:15" ht="18.75">
      <c r="A41" s="725"/>
      <c r="B41" s="734"/>
      <c r="C41" s="383" t="s">
        <v>1283</v>
      </c>
      <c r="D41" s="199" t="s">
        <v>1710</v>
      </c>
      <c r="E41" s="58" t="s">
        <v>1706</v>
      </c>
      <c r="F41" s="58" t="s">
        <v>1710</v>
      </c>
      <c r="G41" s="58" t="s">
        <v>1679</v>
      </c>
      <c r="H41" s="58" t="s">
        <v>1679</v>
      </c>
      <c r="I41" s="58" t="s">
        <v>1676</v>
      </c>
      <c r="J41" s="58" t="s">
        <v>1718</v>
      </c>
      <c r="K41" s="58" t="s">
        <v>1721</v>
      </c>
      <c r="L41" s="58" t="s">
        <v>1678</v>
      </c>
      <c r="M41" s="58" t="s">
        <v>1711</v>
      </c>
      <c r="N41" s="58" t="s">
        <v>1703</v>
      </c>
      <c r="O41" s="197" t="s">
        <v>1698</v>
      </c>
    </row>
    <row r="42" spans="1:15" ht="18.75">
      <c r="A42" s="725"/>
      <c r="B42" s="734"/>
      <c r="C42" s="383" t="s">
        <v>1283</v>
      </c>
      <c r="D42" s="199" t="s">
        <v>1706</v>
      </c>
      <c r="E42" s="58" t="s">
        <v>1700</v>
      </c>
      <c r="F42" s="58" t="s">
        <v>1706</v>
      </c>
      <c r="G42" s="58" t="s">
        <v>1690</v>
      </c>
      <c r="H42" s="58" t="s">
        <v>1690</v>
      </c>
      <c r="I42" s="58" t="s">
        <v>1679</v>
      </c>
      <c r="J42" s="58" t="s">
        <v>1727</v>
      </c>
      <c r="K42" s="58" t="s">
        <v>1678</v>
      </c>
      <c r="L42" s="360"/>
      <c r="M42" s="58" t="s">
        <v>1701</v>
      </c>
      <c r="N42" s="58" t="s">
        <v>1698</v>
      </c>
      <c r="O42" s="197" t="s">
        <v>1715</v>
      </c>
    </row>
    <row r="43" spans="1:15" ht="18.75">
      <c r="A43" s="725"/>
      <c r="B43" s="734"/>
      <c r="C43" s="383" t="s">
        <v>1283</v>
      </c>
      <c r="D43" s="199" t="s">
        <v>1700</v>
      </c>
      <c r="E43" s="58" t="s">
        <v>1696</v>
      </c>
      <c r="F43" s="58" t="s">
        <v>1700</v>
      </c>
      <c r="G43" s="58" t="s">
        <v>1720</v>
      </c>
      <c r="H43" s="58" t="s">
        <v>1720</v>
      </c>
      <c r="I43" s="58" t="s">
        <v>1695</v>
      </c>
      <c r="J43" s="58" t="s">
        <v>1712</v>
      </c>
      <c r="K43" s="360"/>
      <c r="L43" s="360"/>
      <c r="M43" s="58" t="s">
        <v>1707</v>
      </c>
      <c r="N43" s="58" t="s">
        <v>1715</v>
      </c>
      <c r="O43" s="197" t="s">
        <v>1716</v>
      </c>
    </row>
    <row r="44" spans="1:15" ht="18.75">
      <c r="A44" s="725"/>
      <c r="B44" s="734"/>
      <c r="C44" s="383" t="s">
        <v>1283</v>
      </c>
      <c r="D44" s="199" t="s">
        <v>1696</v>
      </c>
      <c r="E44" s="58" t="s">
        <v>1722</v>
      </c>
      <c r="F44" s="58" t="s">
        <v>1696</v>
      </c>
      <c r="G44" s="58" t="s">
        <v>1723</v>
      </c>
      <c r="H44" s="58" t="s">
        <v>1712</v>
      </c>
      <c r="I44" s="58" t="s">
        <v>1690</v>
      </c>
      <c r="J44" s="58" t="s">
        <v>1721</v>
      </c>
      <c r="K44" s="367"/>
      <c r="L44" s="360"/>
      <c r="M44" s="58" t="s">
        <v>1703</v>
      </c>
      <c r="N44" s="58" t="s">
        <v>1716</v>
      </c>
      <c r="O44" s="370"/>
    </row>
    <row r="45" spans="1:15" ht="18.75">
      <c r="A45" s="725"/>
      <c r="B45" s="734"/>
      <c r="C45" s="383" t="s">
        <v>1283</v>
      </c>
      <c r="D45" s="199" t="s">
        <v>1722</v>
      </c>
      <c r="E45" s="58" t="s">
        <v>1702</v>
      </c>
      <c r="F45" s="58" t="s">
        <v>1722</v>
      </c>
      <c r="G45" s="58" t="s">
        <v>1724</v>
      </c>
      <c r="H45" s="58" t="s">
        <v>1723</v>
      </c>
      <c r="I45" s="58" t="s">
        <v>1712</v>
      </c>
      <c r="J45" s="58" t="s">
        <v>1678</v>
      </c>
      <c r="K45" s="367"/>
      <c r="L45" s="367"/>
      <c r="M45" s="58" t="s">
        <v>1698</v>
      </c>
      <c r="N45" s="360"/>
      <c r="O45" s="370"/>
    </row>
    <row r="46" spans="1:15" ht="18.75">
      <c r="A46" s="725"/>
      <c r="B46" s="734"/>
      <c r="C46" s="383" t="s">
        <v>1283</v>
      </c>
      <c r="D46" s="199" t="s">
        <v>1702</v>
      </c>
      <c r="E46" s="58" t="s">
        <v>1724</v>
      </c>
      <c r="F46" s="58" t="s">
        <v>1702</v>
      </c>
      <c r="G46" s="367"/>
      <c r="H46" s="358"/>
      <c r="I46" s="58" t="s">
        <v>1723</v>
      </c>
      <c r="J46" s="367"/>
      <c r="K46" s="367"/>
      <c r="L46" s="367"/>
      <c r="M46" s="58" t="s">
        <v>1715</v>
      </c>
      <c r="N46" s="360"/>
      <c r="O46" s="370"/>
    </row>
    <row r="47" spans="1:15" ht="18.75">
      <c r="A47" s="725"/>
      <c r="B47" s="734"/>
      <c r="C47" s="383" t="s">
        <v>1283</v>
      </c>
      <c r="D47" s="368"/>
      <c r="E47" s="367"/>
      <c r="F47" s="58" t="s">
        <v>1720</v>
      </c>
      <c r="G47" s="367"/>
      <c r="H47" s="358"/>
      <c r="I47" s="360"/>
      <c r="J47" s="367"/>
      <c r="K47" s="367"/>
      <c r="L47" s="367"/>
      <c r="M47" s="58" t="s">
        <v>1716</v>
      </c>
      <c r="N47" s="360"/>
      <c r="O47" s="370"/>
    </row>
    <row r="48" spans="1:15" ht="19.5" thickBot="1">
      <c r="A48" s="732"/>
      <c r="B48" s="735"/>
      <c r="C48" s="383" t="s">
        <v>1283</v>
      </c>
      <c r="D48" s="373"/>
      <c r="E48" s="375"/>
      <c r="F48" s="202" t="s">
        <v>1724</v>
      </c>
      <c r="G48" s="375"/>
      <c r="H48" s="374"/>
      <c r="I48" s="390"/>
      <c r="J48" s="375"/>
      <c r="K48" s="375"/>
      <c r="L48" s="375"/>
      <c r="M48" s="390"/>
      <c r="N48" s="390"/>
      <c r="O48" s="377"/>
    </row>
    <row r="49" spans="1:15" ht="18.75">
      <c r="A49" s="715" t="s">
        <v>1287</v>
      </c>
      <c r="B49" s="717" t="s">
        <v>913</v>
      </c>
      <c r="C49" s="378" t="s">
        <v>1283</v>
      </c>
      <c r="D49" s="318" t="s">
        <v>1711</v>
      </c>
      <c r="E49" s="236" t="s">
        <v>1653</v>
      </c>
      <c r="F49" s="236" t="s">
        <v>1779</v>
      </c>
      <c r="G49" s="236" t="s">
        <v>1650</v>
      </c>
      <c r="H49" s="236" t="s">
        <v>1833</v>
      </c>
      <c r="I49" s="236" t="s">
        <v>1833</v>
      </c>
      <c r="J49" s="236" t="s">
        <v>1766</v>
      </c>
      <c r="K49" s="236" t="s">
        <v>1668</v>
      </c>
      <c r="L49" s="613"/>
      <c r="M49" s="236" t="s">
        <v>1653</v>
      </c>
      <c r="N49" s="404"/>
      <c r="O49" s="536" t="s">
        <v>1792</v>
      </c>
    </row>
    <row r="50" spans="1:15" ht="17.25" thickBot="1">
      <c r="A50" s="716"/>
      <c r="B50" s="718"/>
      <c r="C50" s="398" t="s">
        <v>1283</v>
      </c>
      <c r="D50" s="612"/>
      <c r="E50" s="375"/>
      <c r="F50" s="422"/>
      <c r="G50" s="375"/>
      <c r="H50" s="611"/>
      <c r="I50" s="375"/>
      <c r="J50" s="375"/>
      <c r="K50" s="375"/>
      <c r="L50" s="375"/>
      <c r="M50" s="610"/>
      <c r="N50" s="375"/>
      <c r="O50" s="609"/>
    </row>
    <row r="51" spans="1:15" ht="17.25" thickBot="1">
      <c r="A51" s="736" t="s">
        <v>1285</v>
      </c>
      <c r="B51" s="737"/>
      <c r="C51" s="737"/>
      <c r="D51" s="608">
        <f t="shared" ref="D51:O51" si="1">COUNTA(D25:D50)</f>
        <v>23</v>
      </c>
      <c r="E51" s="608">
        <f t="shared" si="1"/>
        <v>23</v>
      </c>
      <c r="F51" s="608">
        <f t="shared" si="1"/>
        <v>25</v>
      </c>
      <c r="G51" s="608">
        <f t="shared" si="1"/>
        <v>22</v>
      </c>
      <c r="H51" s="608">
        <f t="shared" si="1"/>
        <v>22</v>
      </c>
      <c r="I51" s="608">
        <f t="shared" si="1"/>
        <v>23</v>
      </c>
      <c r="J51" s="608">
        <f t="shared" si="1"/>
        <v>22</v>
      </c>
      <c r="K51" s="608">
        <f t="shared" si="1"/>
        <v>19</v>
      </c>
      <c r="L51" s="608">
        <f t="shared" si="1"/>
        <v>17</v>
      </c>
      <c r="M51" s="608">
        <f t="shared" si="1"/>
        <v>24</v>
      </c>
      <c r="N51" s="608">
        <f t="shared" si="1"/>
        <v>20</v>
      </c>
      <c r="O51" s="591">
        <f t="shared" si="1"/>
        <v>20</v>
      </c>
    </row>
    <row r="52" spans="1:15" ht="18.75">
      <c r="A52" s="715" t="s">
        <v>1288</v>
      </c>
      <c r="B52" s="717" t="s">
        <v>1282</v>
      </c>
      <c r="C52" s="378" t="s">
        <v>1283</v>
      </c>
      <c r="D52" s="607" t="s">
        <v>1649</v>
      </c>
      <c r="E52" s="606" t="s">
        <v>1649</v>
      </c>
      <c r="F52" s="606" t="s">
        <v>1649</v>
      </c>
      <c r="G52" s="606" t="s">
        <v>1640</v>
      </c>
      <c r="H52" s="606" t="s">
        <v>1640</v>
      </c>
      <c r="I52" s="606" t="s">
        <v>1640</v>
      </c>
      <c r="J52" s="606" t="s">
        <v>1649</v>
      </c>
      <c r="K52" s="606" t="s">
        <v>1649</v>
      </c>
      <c r="L52" s="606" t="s">
        <v>1649</v>
      </c>
      <c r="M52" s="606" t="s">
        <v>1649</v>
      </c>
      <c r="N52" s="606" t="s">
        <v>1640</v>
      </c>
      <c r="O52" s="605" t="s">
        <v>1640</v>
      </c>
    </row>
    <row r="53" spans="1:15" ht="18.75">
      <c r="A53" s="728"/>
      <c r="B53" s="730"/>
      <c r="C53" s="383" t="s">
        <v>1283</v>
      </c>
      <c r="D53" s="199" t="s">
        <v>1675</v>
      </c>
      <c r="E53" s="58" t="s">
        <v>1686</v>
      </c>
      <c r="F53" s="15" t="s">
        <v>1640</v>
      </c>
      <c r="G53" s="58" t="s">
        <v>1692</v>
      </c>
      <c r="H53" s="58" t="s">
        <v>1696</v>
      </c>
      <c r="I53" s="58" t="s">
        <v>1700</v>
      </c>
      <c r="J53" s="58" t="s">
        <v>1705</v>
      </c>
      <c r="K53" s="58" t="s">
        <v>1709</v>
      </c>
      <c r="L53" s="58" t="s">
        <v>1714</v>
      </c>
      <c r="M53" s="15" t="s">
        <v>1640</v>
      </c>
      <c r="N53" s="58" t="s">
        <v>1719</v>
      </c>
      <c r="O53" s="197" t="s">
        <v>1722</v>
      </c>
    </row>
    <row r="54" spans="1:15" ht="18.75">
      <c r="A54" s="728"/>
      <c r="B54" s="730"/>
      <c r="C54" s="383" t="s">
        <v>1283</v>
      </c>
      <c r="D54" s="199" t="s">
        <v>1676</v>
      </c>
      <c r="E54" s="58" t="s">
        <v>1687</v>
      </c>
      <c r="F54" s="58" t="s">
        <v>1688</v>
      </c>
      <c r="G54" s="58" t="s">
        <v>1693</v>
      </c>
      <c r="H54" s="58" t="s">
        <v>1697</v>
      </c>
      <c r="I54" s="58" t="s">
        <v>1701</v>
      </c>
      <c r="J54" s="58" t="s">
        <v>1706</v>
      </c>
      <c r="K54" s="58" t="s">
        <v>1710</v>
      </c>
      <c r="L54" s="58" t="s">
        <v>1715</v>
      </c>
      <c r="M54" s="58" t="s">
        <v>1717</v>
      </c>
      <c r="N54" s="58" t="s">
        <v>1720</v>
      </c>
      <c r="O54" s="197" t="s">
        <v>1723</v>
      </c>
    </row>
    <row r="55" spans="1:15" ht="18.75">
      <c r="A55" s="728"/>
      <c r="B55" s="730"/>
      <c r="C55" s="383" t="s">
        <v>1283</v>
      </c>
      <c r="D55" s="199" t="s">
        <v>1677</v>
      </c>
      <c r="E55" s="58" t="s">
        <v>1679</v>
      </c>
      <c r="F55" s="58" t="s">
        <v>1689</v>
      </c>
      <c r="G55" s="58" t="s">
        <v>1694</v>
      </c>
      <c r="H55" s="58" t="s">
        <v>1698</v>
      </c>
      <c r="I55" s="58" t="s">
        <v>1702</v>
      </c>
      <c r="J55" s="58" t="s">
        <v>1707</v>
      </c>
      <c r="K55" s="58" t="s">
        <v>1711</v>
      </c>
      <c r="L55" s="58" t="s">
        <v>1716</v>
      </c>
      <c r="M55" s="58" t="s">
        <v>1718</v>
      </c>
      <c r="N55" s="58" t="s">
        <v>1721</v>
      </c>
      <c r="O55" s="197" t="s">
        <v>1724</v>
      </c>
    </row>
    <row r="56" spans="1:15" ht="18.75">
      <c r="A56" s="729"/>
      <c r="B56" s="731"/>
      <c r="C56" s="383" t="s">
        <v>1283</v>
      </c>
      <c r="D56" s="199" t="s">
        <v>1678</v>
      </c>
      <c r="E56" s="58" t="s">
        <v>1727</v>
      </c>
      <c r="F56" s="58" t="s">
        <v>1690</v>
      </c>
      <c r="G56" s="58" t="s">
        <v>1695</v>
      </c>
      <c r="H56" s="360"/>
      <c r="I56" s="58" t="s">
        <v>1703</v>
      </c>
      <c r="J56" s="360"/>
      <c r="K56" s="58" t="s">
        <v>1712</v>
      </c>
      <c r="L56" s="360"/>
      <c r="M56" s="360"/>
      <c r="N56" s="360"/>
      <c r="O56" s="361"/>
    </row>
    <row r="57" spans="1:15" ht="17.25" thickBot="1">
      <c r="A57" s="716"/>
      <c r="B57" s="718"/>
      <c r="C57" s="398" t="s">
        <v>1283</v>
      </c>
      <c r="D57" s="373"/>
      <c r="E57" s="375"/>
      <c r="F57" s="375"/>
      <c r="G57" s="390"/>
      <c r="H57" s="390"/>
      <c r="I57" s="375"/>
      <c r="J57" s="390"/>
      <c r="K57" s="375"/>
      <c r="L57" s="390"/>
      <c r="M57" s="390"/>
      <c r="N57" s="375"/>
      <c r="O57" s="377"/>
    </row>
    <row r="58" spans="1:15" ht="18.75">
      <c r="A58" s="715" t="s">
        <v>1289</v>
      </c>
      <c r="B58" s="717" t="s">
        <v>913</v>
      </c>
      <c r="C58" s="378" t="s">
        <v>1283</v>
      </c>
      <c r="D58" s="355"/>
      <c r="E58" s="604"/>
      <c r="F58" s="356"/>
      <c r="G58" s="174" t="s">
        <v>1771</v>
      </c>
      <c r="H58" s="396"/>
      <c r="I58" s="396"/>
      <c r="J58" s="174" t="s">
        <v>1780</v>
      </c>
      <c r="K58" s="174" t="s">
        <v>1666</v>
      </c>
      <c r="L58" s="396"/>
      <c r="M58" s="396"/>
      <c r="N58" s="174" t="s">
        <v>1668</v>
      </c>
      <c r="O58" s="397"/>
    </row>
    <row r="59" spans="1:15" ht="17.25" thickBot="1">
      <c r="A59" s="716"/>
      <c r="B59" s="718"/>
      <c r="C59" s="398" t="s">
        <v>1283</v>
      </c>
      <c r="D59" s="388"/>
      <c r="E59" s="389"/>
      <c r="F59" s="389"/>
      <c r="G59" s="375"/>
      <c r="H59" s="375"/>
      <c r="I59" s="389"/>
      <c r="J59" s="406"/>
      <c r="K59" s="406"/>
      <c r="L59" s="389"/>
      <c r="M59" s="375"/>
      <c r="N59" s="389"/>
      <c r="O59" s="407"/>
    </row>
    <row r="60" spans="1:15" ht="17.25" thickBot="1">
      <c r="A60" s="736" t="s">
        <v>1285</v>
      </c>
      <c r="B60" s="737"/>
      <c r="C60" s="738"/>
      <c r="D60" s="408">
        <f t="shared" ref="D60:O60" si="2">COUNTA(D52:D59)</f>
        <v>5</v>
      </c>
      <c r="E60" s="408">
        <f t="shared" si="2"/>
        <v>5</v>
      </c>
      <c r="F60" s="408">
        <f t="shared" si="2"/>
        <v>5</v>
      </c>
      <c r="G60" s="408">
        <f t="shared" si="2"/>
        <v>6</v>
      </c>
      <c r="H60" s="408">
        <f t="shared" si="2"/>
        <v>4</v>
      </c>
      <c r="I60" s="408">
        <f t="shared" si="2"/>
        <v>5</v>
      </c>
      <c r="J60" s="408">
        <f t="shared" si="2"/>
        <v>5</v>
      </c>
      <c r="K60" s="408">
        <f t="shared" si="2"/>
        <v>6</v>
      </c>
      <c r="L60" s="408">
        <f t="shared" si="2"/>
        <v>4</v>
      </c>
      <c r="M60" s="408">
        <f t="shared" si="2"/>
        <v>4</v>
      </c>
      <c r="N60" s="408">
        <f t="shared" si="2"/>
        <v>5</v>
      </c>
      <c r="O60" s="591">
        <f t="shared" si="2"/>
        <v>4</v>
      </c>
    </row>
    <row r="61" spans="1:15" ht="18.75">
      <c r="A61" s="715" t="s">
        <v>1290</v>
      </c>
      <c r="B61" s="717" t="s">
        <v>1282</v>
      </c>
      <c r="C61" s="378" t="s">
        <v>1283</v>
      </c>
      <c r="D61" s="454" t="s">
        <v>1749</v>
      </c>
      <c r="E61" s="236" t="s">
        <v>1747</v>
      </c>
      <c r="F61" s="236" t="s">
        <v>1745</v>
      </c>
      <c r="G61" s="236" t="s">
        <v>1666</v>
      </c>
      <c r="H61" s="236" t="s">
        <v>1669</v>
      </c>
      <c r="I61" s="236" t="s">
        <v>1646</v>
      </c>
      <c r="J61" s="236" t="s">
        <v>1654</v>
      </c>
      <c r="K61" s="261" t="s">
        <v>1648</v>
      </c>
      <c r="L61" s="236" t="s">
        <v>1637</v>
      </c>
      <c r="M61" s="236" t="s">
        <v>1645</v>
      </c>
      <c r="N61" s="236" t="s">
        <v>1639</v>
      </c>
      <c r="O61" s="536" t="s">
        <v>1651</v>
      </c>
    </row>
    <row r="62" spans="1:15" ht="18.75">
      <c r="A62" s="728"/>
      <c r="B62" s="730"/>
      <c r="C62" s="383" t="s">
        <v>1283</v>
      </c>
      <c r="D62" s="329" t="s">
        <v>1748</v>
      </c>
      <c r="E62" s="163" t="s">
        <v>1746</v>
      </c>
      <c r="F62" s="6" t="s">
        <v>1650</v>
      </c>
      <c r="G62" s="6" t="s">
        <v>1661</v>
      </c>
      <c r="H62" s="6" t="s">
        <v>1671</v>
      </c>
      <c r="I62" s="6" t="s">
        <v>1662</v>
      </c>
      <c r="J62" s="16" t="s">
        <v>1741</v>
      </c>
      <c r="K62" s="15" t="s">
        <v>1640</v>
      </c>
      <c r="L62" s="6" t="s">
        <v>1667</v>
      </c>
      <c r="M62" s="6" t="s">
        <v>1673</v>
      </c>
      <c r="N62" s="6" t="s">
        <v>1653</v>
      </c>
      <c r="O62" s="200" t="s">
        <v>1735</v>
      </c>
    </row>
    <row r="63" spans="1:15" ht="18.75">
      <c r="A63" s="728"/>
      <c r="B63" s="730"/>
      <c r="C63" s="383" t="s">
        <v>1283</v>
      </c>
      <c r="D63" s="295" t="s">
        <v>1644</v>
      </c>
      <c r="E63" s="6" t="s">
        <v>1660</v>
      </c>
      <c r="F63" s="58" t="s">
        <v>1687</v>
      </c>
      <c r="G63" s="58" t="s">
        <v>1688</v>
      </c>
      <c r="H63" s="6" t="s">
        <v>1670</v>
      </c>
      <c r="I63" s="6" t="s">
        <v>1672</v>
      </c>
      <c r="J63" s="16" t="s">
        <v>1743</v>
      </c>
      <c r="K63" s="58" t="s">
        <v>1689</v>
      </c>
      <c r="L63" s="16" t="s">
        <v>1740</v>
      </c>
      <c r="M63" s="6" t="s">
        <v>1739</v>
      </c>
      <c r="N63" s="6" t="s">
        <v>1738</v>
      </c>
      <c r="O63" s="508" t="s">
        <v>1649</v>
      </c>
    </row>
    <row r="64" spans="1:15" ht="18.75">
      <c r="A64" s="728"/>
      <c r="B64" s="730"/>
      <c r="C64" s="383" t="s">
        <v>1283</v>
      </c>
      <c r="D64" s="488" t="s">
        <v>1638</v>
      </c>
      <c r="E64" s="6" t="s">
        <v>1665</v>
      </c>
      <c r="F64" s="58" t="s">
        <v>1717</v>
      </c>
      <c r="G64" s="58" t="s">
        <v>1744</v>
      </c>
      <c r="H64" s="11" t="s">
        <v>1647</v>
      </c>
      <c r="I64" s="16" t="s">
        <v>1656</v>
      </c>
      <c r="J64" s="58" t="s">
        <v>1742</v>
      </c>
      <c r="K64" s="58" t="s">
        <v>1714</v>
      </c>
      <c r="L64" s="58" t="s">
        <v>1697</v>
      </c>
      <c r="M64" s="31" t="s">
        <v>1674</v>
      </c>
      <c r="N64" s="6" t="s">
        <v>1737</v>
      </c>
      <c r="O64" s="197" t="s">
        <v>1692</v>
      </c>
    </row>
    <row r="65" spans="1:15" ht="18.75">
      <c r="A65" s="728"/>
      <c r="B65" s="730"/>
      <c r="C65" s="383" t="s">
        <v>1283</v>
      </c>
      <c r="D65" s="222" t="s">
        <v>1664</v>
      </c>
      <c r="E65" s="16" t="s">
        <v>1659</v>
      </c>
      <c r="F65" s="58" t="s">
        <v>1676</v>
      </c>
      <c r="G65" s="58" t="s">
        <v>1710</v>
      </c>
      <c r="H65" s="58" t="s">
        <v>1695</v>
      </c>
      <c r="I65" s="58" t="s">
        <v>1706</v>
      </c>
      <c r="J65" s="58" t="s">
        <v>1696</v>
      </c>
      <c r="K65" s="58" t="s">
        <v>1675</v>
      </c>
      <c r="L65" s="58" t="s">
        <v>1722</v>
      </c>
      <c r="M65" s="58" t="s">
        <v>1709</v>
      </c>
      <c r="N65" s="31" t="s">
        <v>1736</v>
      </c>
      <c r="O65" s="197" t="s">
        <v>1718</v>
      </c>
    </row>
    <row r="66" spans="1:15" ht="18.75">
      <c r="A66" s="728"/>
      <c r="B66" s="730"/>
      <c r="C66" s="383" t="s">
        <v>1283</v>
      </c>
      <c r="D66" s="199" t="s">
        <v>1719</v>
      </c>
      <c r="E66" s="58" t="s">
        <v>1693</v>
      </c>
      <c r="F66" s="58" t="s">
        <v>1723</v>
      </c>
      <c r="G66" s="58" t="s">
        <v>1700</v>
      </c>
      <c r="H66" s="58" t="s">
        <v>1702</v>
      </c>
      <c r="I66" s="58" t="s">
        <v>1705</v>
      </c>
      <c r="J66" s="58" t="s">
        <v>1677</v>
      </c>
      <c r="K66" s="58" t="s">
        <v>1679</v>
      </c>
      <c r="L66" s="58" t="s">
        <v>1720</v>
      </c>
      <c r="M66" s="58" t="s">
        <v>1690</v>
      </c>
      <c r="N66" s="58" t="s">
        <v>1694</v>
      </c>
      <c r="O66" s="197" t="s">
        <v>1727</v>
      </c>
    </row>
    <row r="67" spans="1:15" ht="18.75">
      <c r="A67" s="728"/>
      <c r="B67" s="730"/>
      <c r="C67" s="383" t="s">
        <v>1283</v>
      </c>
      <c r="D67" s="199" t="s">
        <v>1703</v>
      </c>
      <c r="E67" s="58" t="s">
        <v>1701</v>
      </c>
      <c r="F67" s="6" t="s">
        <v>1829</v>
      </c>
      <c r="G67" s="58" t="s">
        <v>1712</v>
      </c>
      <c r="H67" s="360"/>
      <c r="I67" s="58" t="s">
        <v>1698</v>
      </c>
      <c r="J67" s="58" t="s">
        <v>1711</v>
      </c>
      <c r="K67" s="367"/>
      <c r="L67" s="360"/>
      <c r="M67" s="58" t="s">
        <v>1678</v>
      </c>
      <c r="N67" s="58" t="s">
        <v>1724</v>
      </c>
      <c r="O67" s="361"/>
    </row>
    <row r="68" spans="1:15" ht="18.75">
      <c r="A68" s="728"/>
      <c r="B68" s="730"/>
      <c r="C68" s="383" t="s">
        <v>1283</v>
      </c>
      <c r="D68" s="368"/>
      <c r="E68" s="58" t="s">
        <v>1707</v>
      </c>
      <c r="F68" s="367"/>
      <c r="G68" s="6" t="s">
        <v>1828</v>
      </c>
      <c r="H68" s="366"/>
      <c r="I68" s="360"/>
      <c r="J68" s="58" t="s">
        <v>1715</v>
      </c>
      <c r="K68" s="360"/>
      <c r="L68" s="360"/>
      <c r="M68" s="384"/>
      <c r="N68" s="360"/>
      <c r="O68" s="361"/>
    </row>
    <row r="69" spans="1:15" ht="18.75">
      <c r="A69" s="728"/>
      <c r="B69" s="730"/>
      <c r="C69" s="383" t="s">
        <v>1283</v>
      </c>
      <c r="D69" s="368"/>
      <c r="E69" s="367"/>
      <c r="F69" s="360"/>
      <c r="G69" s="410"/>
      <c r="H69" s="384"/>
      <c r="I69" s="411"/>
      <c r="J69" s="6" t="s">
        <v>1827</v>
      </c>
      <c r="K69" s="366"/>
      <c r="L69" s="360"/>
      <c r="M69" s="384"/>
      <c r="N69" s="366"/>
      <c r="O69" s="359"/>
    </row>
    <row r="70" spans="1:15">
      <c r="A70" s="728"/>
      <c r="B70" s="730"/>
      <c r="C70" s="383" t="s">
        <v>1283</v>
      </c>
      <c r="D70" s="409"/>
      <c r="E70" s="367"/>
      <c r="F70" s="367"/>
      <c r="G70" s="358"/>
      <c r="H70" s="384"/>
      <c r="I70" s="384"/>
      <c r="J70" s="384"/>
      <c r="K70" s="384"/>
      <c r="L70" s="384"/>
      <c r="M70" s="358"/>
      <c r="N70" s="384"/>
      <c r="O70" s="395"/>
    </row>
    <row r="71" spans="1:15" ht="17.25" thickBot="1">
      <c r="A71" s="716"/>
      <c r="B71" s="718"/>
      <c r="C71" s="398" t="s">
        <v>1283</v>
      </c>
      <c r="D71" s="373"/>
      <c r="E71" s="374"/>
      <c r="F71" s="374"/>
      <c r="G71" s="374"/>
      <c r="H71" s="375"/>
      <c r="I71" s="389"/>
      <c r="J71" s="374"/>
      <c r="K71" s="374"/>
      <c r="L71" s="375"/>
      <c r="M71" s="374"/>
      <c r="N71" s="374"/>
      <c r="O71" s="407"/>
    </row>
    <row r="72" spans="1:15" ht="17.25" thickBot="1">
      <c r="A72" s="737" t="s">
        <v>1285</v>
      </c>
      <c r="B72" s="737"/>
      <c r="C72" s="737"/>
      <c r="D72" s="603">
        <f>COUNTA(D63:D70)</f>
        <v>5</v>
      </c>
      <c r="E72" s="602">
        <f>COUNTA(E63:E68)</f>
        <v>6</v>
      </c>
      <c r="F72" s="602">
        <f>COUNTA(F63:F70)</f>
        <v>5</v>
      </c>
      <c r="G72" s="602">
        <f t="shared" ref="G72:O72" si="3">COUNTA(G61:G70)</f>
        <v>8</v>
      </c>
      <c r="H72" s="602">
        <f t="shared" si="3"/>
        <v>6</v>
      </c>
      <c r="I72" s="602">
        <f t="shared" si="3"/>
        <v>7</v>
      </c>
      <c r="J72" s="602">
        <f t="shared" si="3"/>
        <v>9</v>
      </c>
      <c r="K72" s="602">
        <f t="shared" si="3"/>
        <v>6</v>
      </c>
      <c r="L72" s="602">
        <f t="shared" si="3"/>
        <v>6</v>
      </c>
      <c r="M72" s="602">
        <f t="shared" si="3"/>
        <v>7</v>
      </c>
      <c r="N72" s="602">
        <f t="shared" si="3"/>
        <v>7</v>
      </c>
      <c r="O72" s="601">
        <f t="shared" si="3"/>
        <v>6</v>
      </c>
    </row>
    <row r="73" spans="1:15" ht="18.75">
      <c r="A73" s="724" t="s">
        <v>1291</v>
      </c>
      <c r="B73" s="740" t="s">
        <v>1282</v>
      </c>
      <c r="C73" s="378" t="s">
        <v>1283</v>
      </c>
      <c r="D73" s="600" t="s">
        <v>1746</v>
      </c>
      <c r="E73" s="262" t="s">
        <v>1664</v>
      </c>
      <c r="F73" s="262" t="s">
        <v>1664</v>
      </c>
      <c r="G73" s="262" t="s">
        <v>1664</v>
      </c>
      <c r="H73" s="598" t="s">
        <v>1746</v>
      </c>
      <c r="I73" s="598" t="s">
        <v>1746</v>
      </c>
      <c r="J73" s="598" t="s">
        <v>1746</v>
      </c>
      <c r="K73" s="195" t="s">
        <v>1706</v>
      </c>
      <c r="L73" s="262" t="s">
        <v>1664</v>
      </c>
      <c r="M73" s="262" t="s">
        <v>1664</v>
      </c>
      <c r="N73" s="262" t="s">
        <v>1664</v>
      </c>
      <c r="O73" s="599" t="s">
        <v>1664</v>
      </c>
    </row>
    <row r="74" spans="1:15" ht="18.75">
      <c r="A74" s="725"/>
      <c r="B74" s="741"/>
      <c r="C74" s="383" t="s">
        <v>1283</v>
      </c>
      <c r="D74" s="199" t="s">
        <v>1693</v>
      </c>
      <c r="E74" s="58" t="s">
        <v>1677</v>
      </c>
      <c r="F74" s="58" t="s">
        <v>1714</v>
      </c>
      <c r="G74" s="58" t="s">
        <v>1698</v>
      </c>
      <c r="H74" s="58" t="s">
        <v>1705</v>
      </c>
      <c r="I74" s="58" t="s">
        <v>1710</v>
      </c>
      <c r="J74" s="58" t="s">
        <v>1709</v>
      </c>
      <c r="K74" s="58" t="s">
        <v>1694</v>
      </c>
      <c r="L74" s="58" t="s">
        <v>1695</v>
      </c>
      <c r="M74" s="58" t="s">
        <v>1722</v>
      </c>
      <c r="N74" s="58" t="s">
        <v>1692</v>
      </c>
      <c r="O74" s="197" t="s">
        <v>1719</v>
      </c>
    </row>
    <row r="75" spans="1:15" ht="18.75">
      <c r="A75" s="725"/>
      <c r="B75" s="741"/>
      <c r="C75" s="383" t="s">
        <v>1283</v>
      </c>
      <c r="D75" s="199" t="s">
        <v>1697</v>
      </c>
      <c r="E75" s="58" t="s">
        <v>1723</v>
      </c>
      <c r="F75" s="58" t="s">
        <v>1679</v>
      </c>
      <c r="G75" s="58" t="s">
        <v>1715</v>
      </c>
      <c r="H75" s="58" t="s">
        <v>1700</v>
      </c>
      <c r="I75" s="58" t="s">
        <v>1696</v>
      </c>
      <c r="J75" s="58" t="s">
        <v>1675</v>
      </c>
      <c r="K75" s="58" t="s">
        <v>1707</v>
      </c>
      <c r="L75" s="58" t="s">
        <v>1711</v>
      </c>
      <c r="M75" s="58" t="s">
        <v>1727</v>
      </c>
      <c r="N75" s="58" t="s">
        <v>1676</v>
      </c>
      <c r="O75" s="197" t="s">
        <v>1717</v>
      </c>
    </row>
    <row r="76" spans="1:15" ht="18.75">
      <c r="A76" s="725"/>
      <c r="B76" s="741"/>
      <c r="C76" s="383" t="s">
        <v>1283</v>
      </c>
      <c r="D76" s="199" t="s">
        <v>1690</v>
      </c>
      <c r="E76" s="58" t="s">
        <v>1678</v>
      </c>
      <c r="F76" s="58" t="s">
        <v>1712</v>
      </c>
      <c r="G76" s="360"/>
      <c r="H76" s="58" t="s">
        <v>1701</v>
      </c>
      <c r="I76" s="58" t="s">
        <v>1718</v>
      </c>
      <c r="J76" s="58" t="s">
        <v>1703</v>
      </c>
      <c r="K76" s="58" t="s">
        <v>1724</v>
      </c>
      <c r="L76" s="360"/>
      <c r="M76" s="58" t="s">
        <v>1721</v>
      </c>
      <c r="N76" s="58" t="s">
        <v>1702</v>
      </c>
      <c r="O76" s="197" t="s">
        <v>1720</v>
      </c>
    </row>
    <row r="77" spans="1:15" ht="18.75">
      <c r="A77" s="725"/>
      <c r="B77" s="741"/>
      <c r="C77" s="383" t="s">
        <v>1283</v>
      </c>
      <c r="D77" s="199" t="s">
        <v>1721</v>
      </c>
      <c r="E77" s="358"/>
      <c r="F77" s="367"/>
      <c r="G77" s="360"/>
      <c r="H77" s="367"/>
      <c r="I77" s="367"/>
      <c r="J77" s="360"/>
      <c r="K77" s="367"/>
      <c r="L77" s="367"/>
      <c r="M77" s="360"/>
      <c r="N77" s="367"/>
      <c r="O77" s="361"/>
    </row>
    <row r="78" spans="1:15" ht="19.5" thickBot="1">
      <c r="A78" s="739"/>
      <c r="B78" s="742"/>
      <c r="C78" s="383" t="s">
        <v>1283</v>
      </c>
      <c r="D78" s="418"/>
      <c r="E78" s="390"/>
      <c r="F78" s="374"/>
      <c r="G78" s="213"/>
      <c r="H78" s="375"/>
      <c r="I78" s="375"/>
      <c r="J78" s="213"/>
      <c r="K78" s="213"/>
      <c r="L78" s="375"/>
      <c r="M78" s="375"/>
      <c r="N78" s="213"/>
      <c r="O78" s="377"/>
    </row>
    <row r="79" spans="1:15" ht="18.75">
      <c r="A79" s="729" t="s">
        <v>1835</v>
      </c>
      <c r="B79" s="743" t="s">
        <v>913</v>
      </c>
      <c r="C79" s="383" t="s">
        <v>1283</v>
      </c>
      <c r="D79" s="315" t="s">
        <v>1667</v>
      </c>
      <c r="E79" s="554"/>
      <c r="F79" s="554"/>
      <c r="G79" s="7" t="s">
        <v>1777</v>
      </c>
      <c r="H79" s="174" t="s">
        <v>1766</v>
      </c>
      <c r="I79" s="554"/>
      <c r="J79" s="174" t="s">
        <v>1652</v>
      </c>
      <c r="K79" s="174" t="s">
        <v>1781</v>
      </c>
      <c r="L79" s="554"/>
      <c r="M79" s="396"/>
      <c r="N79" s="554"/>
      <c r="O79" s="174" t="s">
        <v>1637</v>
      </c>
    </row>
    <row r="80" spans="1:15" ht="17.25" thickBot="1">
      <c r="A80" s="732"/>
      <c r="B80" s="744"/>
      <c r="C80" s="398" t="s">
        <v>1283</v>
      </c>
      <c r="D80" s="373"/>
      <c r="E80" s="375"/>
      <c r="F80" s="374"/>
      <c r="G80" s="375"/>
      <c r="H80" s="375"/>
      <c r="I80" s="375"/>
      <c r="J80" s="375"/>
      <c r="K80" s="375"/>
      <c r="L80" s="375"/>
      <c r="M80" s="375"/>
      <c r="N80" s="374"/>
      <c r="O80" s="377"/>
    </row>
    <row r="81" spans="1:15" ht="17.25" thickBot="1">
      <c r="A81" s="737" t="s">
        <v>1285</v>
      </c>
      <c r="B81" s="737"/>
      <c r="C81" s="737"/>
      <c r="D81" s="392">
        <f t="shared" ref="D81:O81" si="4">COUNTA(D73:D80)</f>
        <v>6</v>
      </c>
      <c r="E81" s="392">
        <f t="shared" si="4"/>
        <v>4</v>
      </c>
      <c r="F81" s="392">
        <f t="shared" si="4"/>
        <v>4</v>
      </c>
      <c r="G81" s="392">
        <f t="shared" si="4"/>
        <v>4</v>
      </c>
      <c r="H81" s="392">
        <f t="shared" si="4"/>
        <v>5</v>
      </c>
      <c r="I81" s="392">
        <f t="shared" si="4"/>
        <v>4</v>
      </c>
      <c r="J81" s="392">
        <f t="shared" si="4"/>
        <v>5</v>
      </c>
      <c r="K81" s="392">
        <f t="shared" si="4"/>
        <v>5</v>
      </c>
      <c r="L81" s="392">
        <f t="shared" si="4"/>
        <v>3</v>
      </c>
      <c r="M81" s="392">
        <f t="shared" si="4"/>
        <v>4</v>
      </c>
      <c r="N81" s="392">
        <f t="shared" si="4"/>
        <v>4</v>
      </c>
      <c r="O81" s="392">
        <f t="shared" si="4"/>
        <v>5</v>
      </c>
    </row>
    <row r="82" spans="1:15" s="413" customFormat="1" ht="18.75">
      <c r="A82" s="715" t="s">
        <v>1292</v>
      </c>
      <c r="B82" s="717" t="s">
        <v>1293</v>
      </c>
      <c r="C82" s="767" t="s">
        <v>1294</v>
      </c>
      <c r="D82" s="161" t="s">
        <v>1641</v>
      </c>
      <c r="E82" s="162" t="s">
        <v>1642</v>
      </c>
      <c r="F82" s="598" t="s">
        <v>1643</v>
      </c>
      <c r="G82" s="162" t="s">
        <v>1646</v>
      </c>
      <c r="H82" s="162" t="s">
        <v>1651</v>
      </c>
      <c r="I82" s="162" t="s">
        <v>1654</v>
      </c>
      <c r="J82" s="162" t="s">
        <v>1655</v>
      </c>
      <c r="K82" s="162" t="s">
        <v>1661</v>
      </c>
      <c r="L82" s="162" t="s">
        <v>1662</v>
      </c>
      <c r="M82" s="162" t="s">
        <v>1667</v>
      </c>
      <c r="N82" s="162" t="s">
        <v>1669</v>
      </c>
      <c r="O82" s="597" t="s">
        <v>1670</v>
      </c>
    </row>
    <row r="83" spans="1:15" s="413" customFormat="1" ht="18.75">
      <c r="A83" s="728"/>
      <c r="B83" s="730"/>
      <c r="C83" s="768"/>
      <c r="D83" s="158" t="s">
        <v>1637</v>
      </c>
      <c r="E83" s="31" t="s">
        <v>1638</v>
      </c>
      <c r="F83" s="82" t="s">
        <v>1645</v>
      </c>
      <c r="G83" s="5" t="s">
        <v>1647</v>
      </c>
      <c r="H83" s="82" t="s">
        <v>1650</v>
      </c>
      <c r="I83" s="82" t="s">
        <v>1653</v>
      </c>
      <c r="J83" s="16" t="s">
        <v>1656</v>
      </c>
      <c r="K83" s="82" t="s">
        <v>1660</v>
      </c>
      <c r="L83" s="16" t="s">
        <v>1659</v>
      </c>
      <c r="M83" s="16" t="s">
        <v>1666</v>
      </c>
      <c r="N83" s="82" t="s">
        <v>1671</v>
      </c>
      <c r="O83" s="159" t="s">
        <v>1672</v>
      </c>
    </row>
    <row r="84" spans="1:15" s="413" customFormat="1" ht="18.75">
      <c r="A84" s="729"/>
      <c r="B84" s="731"/>
      <c r="C84" s="743"/>
      <c r="D84" s="158" t="s">
        <v>1639</v>
      </c>
      <c r="E84" s="32" t="s">
        <v>1640</v>
      </c>
      <c r="F84" s="82" t="s">
        <v>1644</v>
      </c>
      <c r="G84" s="16" t="s">
        <v>1648</v>
      </c>
      <c r="H84" s="32" t="s">
        <v>1649</v>
      </c>
      <c r="I84" s="82" t="s">
        <v>1652</v>
      </c>
      <c r="J84" s="16" t="s">
        <v>1657</v>
      </c>
      <c r="K84" s="16" t="s">
        <v>1741</v>
      </c>
      <c r="L84" s="82" t="s">
        <v>1658</v>
      </c>
      <c r="M84" s="31" t="s">
        <v>1663</v>
      </c>
      <c r="N84" s="82" t="s">
        <v>1673</v>
      </c>
      <c r="O84" s="159" t="s">
        <v>1668</v>
      </c>
    </row>
    <row r="85" spans="1:15" s="413" customFormat="1" ht="19.5" thickBot="1">
      <c r="A85" s="716"/>
      <c r="B85" s="718"/>
      <c r="C85" s="769"/>
      <c r="D85" s="596"/>
      <c r="E85" s="595"/>
      <c r="F85" s="595"/>
      <c r="G85" s="595"/>
      <c r="H85" s="595"/>
      <c r="I85" s="595"/>
      <c r="J85" s="595"/>
      <c r="K85" s="594" t="s">
        <v>1664</v>
      </c>
      <c r="L85" s="375"/>
      <c r="M85" s="165" t="s">
        <v>1665</v>
      </c>
      <c r="N85" s="390"/>
      <c r="O85" s="489" t="s">
        <v>1674</v>
      </c>
    </row>
    <row r="86" spans="1:15" ht="17.25" thickBot="1">
      <c r="A86" s="737" t="s">
        <v>1285</v>
      </c>
      <c r="B86" s="737"/>
      <c r="C86" s="737"/>
      <c r="D86" s="392">
        <f>COUNTA(D83:D84)</f>
        <v>2</v>
      </c>
      <c r="E86" s="392">
        <f>COUNTA(E82:E82)</f>
        <v>1</v>
      </c>
      <c r="F86" s="392">
        <f>COUNTA(F83:F84)</f>
        <v>2</v>
      </c>
      <c r="G86" s="392">
        <f>COUNTA(G82:G84)</f>
        <v>3</v>
      </c>
      <c r="H86" s="392">
        <f>COUNTA(H82:H84)</f>
        <v>3</v>
      </c>
      <c r="I86" s="392">
        <f>COUNTA(I82:I84)</f>
        <v>3</v>
      </c>
      <c r="J86" s="392">
        <f>COUNTA(J82:J84)</f>
        <v>3</v>
      </c>
      <c r="K86" s="392">
        <f>COUNTA(K82:K85)</f>
        <v>4</v>
      </c>
      <c r="L86" s="392">
        <f>COUNTA(L82:L85)</f>
        <v>3</v>
      </c>
      <c r="M86" s="392">
        <f>COUNTA(M82:M85)</f>
        <v>4</v>
      </c>
      <c r="N86" s="392">
        <f>COUNTA(N82:N85)</f>
        <v>3</v>
      </c>
      <c r="O86" s="392">
        <f>COUNTA(O82:O85)</f>
        <v>4</v>
      </c>
    </row>
    <row r="87" spans="1:15" ht="18.75">
      <c r="A87" s="715" t="s">
        <v>1295</v>
      </c>
      <c r="B87" s="717" t="s">
        <v>1282</v>
      </c>
      <c r="C87" s="767" t="s">
        <v>1283</v>
      </c>
      <c r="D87" s="454" t="s">
        <v>1823</v>
      </c>
      <c r="E87" s="236" t="s">
        <v>1822</v>
      </c>
      <c r="F87" s="236" t="s">
        <v>1823</v>
      </c>
      <c r="G87" s="236" t="s">
        <v>1823</v>
      </c>
      <c r="H87" s="263" t="s">
        <v>1674</v>
      </c>
      <c r="I87" s="261" t="s">
        <v>1834</v>
      </c>
      <c r="J87" s="236" t="s">
        <v>1779</v>
      </c>
      <c r="K87" s="236" t="s">
        <v>1779</v>
      </c>
      <c r="L87" s="261" t="s">
        <v>1741</v>
      </c>
      <c r="M87" s="261" t="s">
        <v>1657</v>
      </c>
      <c r="N87" s="263" t="s">
        <v>1674</v>
      </c>
      <c r="O87" s="536" t="s">
        <v>1790</v>
      </c>
    </row>
    <row r="88" spans="1:15" ht="18.75">
      <c r="A88" s="728"/>
      <c r="B88" s="730"/>
      <c r="C88" s="768"/>
      <c r="D88" s="295" t="s">
        <v>1642</v>
      </c>
      <c r="E88" s="6" t="s">
        <v>1641</v>
      </c>
      <c r="F88" s="6" t="s">
        <v>1822</v>
      </c>
      <c r="G88" s="6" t="s">
        <v>1642</v>
      </c>
      <c r="H88" s="16" t="s">
        <v>1656</v>
      </c>
      <c r="I88" s="16" t="s">
        <v>1741</v>
      </c>
      <c r="J88" s="16" t="s">
        <v>1783</v>
      </c>
      <c r="K88" s="31" t="s">
        <v>1638</v>
      </c>
      <c r="L88" s="16" t="s">
        <v>1768</v>
      </c>
      <c r="M88" s="6" t="s">
        <v>1820</v>
      </c>
      <c r="N88" s="15" t="s">
        <v>1649</v>
      </c>
      <c r="O88" s="200" t="s">
        <v>1667</v>
      </c>
    </row>
    <row r="89" spans="1:15" ht="18.75">
      <c r="A89" s="728"/>
      <c r="B89" s="730"/>
      <c r="C89" s="768"/>
      <c r="D89" s="329" t="s">
        <v>1648</v>
      </c>
      <c r="E89" s="6" t="s">
        <v>1807</v>
      </c>
      <c r="F89" s="6" t="s">
        <v>1642</v>
      </c>
      <c r="G89" s="6" t="s">
        <v>1807</v>
      </c>
      <c r="H89" s="6" t="s">
        <v>1820</v>
      </c>
      <c r="I89" s="181" t="s">
        <v>1664</v>
      </c>
      <c r="J89" s="31" t="s">
        <v>1638</v>
      </c>
      <c r="K89" s="16" t="s">
        <v>1656</v>
      </c>
      <c r="L89" s="6" t="s">
        <v>1666</v>
      </c>
      <c r="M89" s="6" t="s">
        <v>1780</v>
      </c>
      <c r="N89" s="6" t="s">
        <v>1820</v>
      </c>
      <c r="O89" s="200" t="s">
        <v>1666</v>
      </c>
    </row>
    <row r="90" spans="1:15" ht="18.75">
      <c r="A90" s="728"/>
      <c r="B90" s="730"/>
      <c r="C90" s="768"/>
      <c r="D90" s="329" t="s">
        <v>1659</v>
      </c>
      <c r="E90" s="6" t="s">
        <v>1779</v>
      </c>
      <c r="G90" s="15" t="s">
        <v>1649</v>
      </c>
      <c r="H90" s="6" t="s">
        <v>1666</v>
      </c>
      <c r="I90" s="6" t="s">
        <v>1820</v>
      </c>
      <c r="J90" s="181" t="s">
        <v>1664</v>
      </c>
      <c r="K90" s="16" t="s">
        <v>1659</v>
      </c>
      <c r="L90" s="82" t="s">
        <v>1777</v>
      </c>
      <c r="M90" s="6" t="s">
        <v>1774</v>
      </c>
      <c r="N90" s="6" t="s">
        <v>1667</v>
      </c>
      <c r="O90" s="200" t="s">
        <v>1833</v>
      </c>
    </row>
    <row r="91" spans="1:15" ht="18.75">
      <c r="A91" s="728"/>
      <c r="B91" s="730"/>
      <c r="C91" s="768"/>
      <c r="D91" s="593" t="s">
        <v>1640</v>
      </c>
      <c r="E91" s="6" t="s">
        <v>1667</v>
      </c>
      <c r="F91" s="6" t="s">
        <v>1771</v>
      </c>
      <c r="G91" s="6" t="s">
        <v>1644</v>
      </c>
      <c r="H91" s="82" t="s">
        <v>1777</v>
      </c>
      <c r="I91" s="6" t="s">
        <v>1790</v>
      </c>
      <c r="J91" s="15" t="s">
        <v>1640</v>
      </c>
      <c r="K91" s="16" t="s">
        <v>1657</v>
      </c>
      <c r="L91" s="6" t="s">
        <v>1766</v>
      </c>
      <c r="M91" s="6" t="s">
        <v>1662</v>
      </c>
      <c r="N91" s="6" t="s">
        <v>1666</v>
      </c>
      <c r="O91" s="200" t="s">
        <v>1769</v>
      </c>
    </row>
    <row r="92" spans="1:15" ht="18.75">
      <c r="A92" s="728"/>
      <c r="B92" s="730"/>
      <c r="C92" s="768"/>
      <c r="D92" s="158" t="s">
        <v>1777</v>
      </c>
      <c r="E92" s="82" t="s">
        <v>1777</v>
      </c>
      <c r="F92" s="6" t="s">
        <v>1766</v>
      </c>
      <c r="G92" s="6" t="s">
        <v>1774</v>
      </c>
      <c r="H92" s="6" t="s">
        <v>1644</v>
      </c>
      <c r="I92" s="6" t="s">
        <v>1644</v>
      </c>
      <c r="J92" s="6" t="s">
        <v>1790</v>
      </c>
      <c r="K92" s="6" t="s">
        <v>1790</v>
      </c>
      <c r="L92" s="6" t="s">
        <v>1780</v>
      </c>
      <c r="M92" s="6" t="s">
        <v>1650</v>
      </c>
      <c r="N92" s="6" t="s">
        <v>1771</v>
      </c>
      <c r="O92" s="200" t="s">
        <v>1774</v>
      </c>
    </row>
    <row r="93" spans="1:15" ht="18.75">
      <c r="A93" s="728"/>
      <c r="B93" s="730"/>
      <c r="C93" s="768"/>
      <c r="D93" s="295" t="s">
        <v>1769</v>
      </c>
      <c r="E93" s="6" t="s">
        <v>1644</v>
      </c>
      <c r="F93" s="6" t="s">
        <v>1780</v>
      </c>
      <c r="G93" s="6" t="s">
        <v>1662</v>
      </c>
      <c r="H93" s="6" t="s">
        <v>1769</v>
      </c>
      <c r="I93" s="6" t="s">
        <v>1771</v>
      </c>
      <c r="J93" s="6" t="s">
        <v>1833</v>
      </c>
      <c r="K93" s="6" t="s">
        <v>1667</v>
      </c>
      <c r="L93" s="6" t="s">
        <v>1792</v>
      </c>
      <c r="M93" s="6" t="s">
        <v>1786</v>
      </c>
      <c r="N93" s="6" t="s">
        <v>1772</v>
      </c>
      <c r="O93" s="200" t="s">
        <v>1781</v>
      </c>
    </row>
    <row r="94" spans="1:15" ht="18.75">
      <c r="A94" s="728"/>
      <c r="B94" s="730"/>
      <c r="C94" s="768"/>
      <c r="D94" s="295" t="s">
        <v>1780</v>
      </c>
      <c r="E94" s="6" t="s">
        <v>1769</v>
      </c>
      <c r="F94" s="6" t="s">
        <v>1774</v>
      </c>
      <c r="G94" s="6" t="s">
        <v>1792</v>
      </c>
      <c r="H94" s="6" t="s">
        <v>1662</v>
      </c>
      <c r="I94" s="6" t="s">
        <v>1774</v>
      </c>
      <c r="J94" s="6" t="s">
        <v>1644</v>
      </c>
      <c r="K94" s="6" t="s">
        <v>1769</v>
      </c>
      <c r="L94" s="6" t="s">
        <v>1786</v>
      </c>
      <c r="M94" s="6" t="s">
        <v>1655</v>
      </c>
      <c r="N94" s="6" t="s">
        <v>1650</v>
      </c>
      <c r="O94" s="200" t="s">
        <v>1650</v>
      </c>
    </row>
    <row r="95" spans="1:15" ht="18.75">
      <c r="A95" s="728"/>
      <c r="B95" s="730"/>
      <c r="C95" s="768"/>
      <c r="D95" s="295" t="s">
        <v>1772</v>
      </c>
      <c r="E95" s="6" t="s">
        <v>1772</v>
      </c>
      <c r="F95" s="6" t="s">
        <v>1781</v>
      </c>
      <c r="G95" s="58" t="s">
        <v>1791</v>
      </c>
      <c r="H95" s="6" t="s">
        <v>1792</v>
      </c>
      <c r="I95" s="6" t="s">
        <v>1772</v>
      </c>
      <c r="J95" s="6" t="s">
        <v>1771</v>
      </c>
      <c r="K95" s="6" t="s">
        <v>1766</v>
      </c>
      <c r="L95" s="6" t="s">
        <v>1782</v>
      </c>
      <c r="M95" s="6" t="s">
        <v>1658</v>
      </c>
      <c r="N95" s="6" t="s">
        <v>1786</v>
      </c>
      <c r="O95" s="200" t="s">
        <v>1653</v>
      </c>
    </row>
    <row r="96" spans="1:15" ht="18.75">
      <c r="A96" s="728"/>
      <c r="B96" s="730"/>
      <c r="C96" s="768"/>
      <c r="D96" s="295" t="s">
        <v>1653</v>
      </c>
      <c r="E96" s="6" t="s">
        <v>1781</v>
      </c>
      <c r="F96" s="6" t="s">
        <v>1653</v>
      </c>
      <c r="G96" s="58" t="s">
        <v>1687</v>
      </c>
      <c r="H96" s="6" t="s">
        <v>1786</v>
      </c>
      <c r="I96" s="6" t="s">
        <v>1650</v>
      </c>
      <c r="J96" s="6" t="s">
        <v>1772</v>
      </c>
      <c r="K96" s="6" t="s">
        <v>1662</v>
      </c>
      <c r="L96" s="6" t="s">
        <v>1655</v>
      </c>
      <c r="M96" s="58" t="s">
        <v>1714</v>
      </c>
      <c r="N96" s="6" t="s">
        <v>1652</v>
      </c>
      <c r="O96" s="328" t="s">
        <v>1647</v>
      </c>
    </row>
    <row r="97" spans="1:15" ht="18.75">
      <c r="A97" s="728"/>
      <c r="B97" s="730"/>
      <c r="C97" s="768"/>
      <c r="D97" s="295" t="s">
        <v>1786</v>
      </c>
      <c r="E97" s="11" t="s">
        <v>1647</v>
      </c>
      <c r="F97" s="11" t="s">
        <v>1647</v>
      </c>
      <c r="G97" s="58" t="s">
        <v>1689</v>
      </c>
      <c r="H97" s="6" t="s">
        <v>1658</v>
      </c>
      <c r="I97" s="11" t="s">
        <v>1647</v>
      </c>
      <c r="J97" s="6" t="s">
        <v>1662</v>
      </c>
      <c r="K97" s="6" t="s">
        <v>1792</v>
      </c>
      <c r="L97" s="6" t="s">
        <v>1800</v>
      </c>
      <c r="M97" s="58" t="s">
        <v>1719</v>
      </c>
      <c r="N97" s="58" t="s">
        <v>1717</v>
      </c>
      <c r="O97" s="200" t="s">
        <v>1655</v>
      </c>
    </row>
    <row r="98" spans="1:15" ht="18.75">
      <c r="A98" s="728"/>
      <c r="B98" s="730"/>
      <c r="C98" s="768"/>
      <c r="D98" s="449" t="s">
        <v>1647</v>
      </c>
      <c r="E98" s="58" t="s">
        <v>1719</v>
      </c>
      <c r="F98" s="6" t="s">
        <v>1782</v>
      </c>
      <c r="G98" s="58" t="s">
        <v>1709</v>
      </c>
      <c r="H98" s="58" t="s">
        <v>1692</v>
      </c>
      <c r="I98" s="6" t="s">
        <v>1658</v>
      </c>
      <c r="J98" s="6" t="s">
        <v>1781</v>
      </c>
      <c r="K98" s="6" t="s">
        <v>1782</v>
      </c>
      <c r="L98" s="58" t="s">
        <v>1709</v>
      </c>
      <c r="M98" s="58" t="s">
        <v>1700</v>
      </c>
      <c r="N98" s="58" t="s">
        <v>1722</v>
      </c>
      <c r="O98" s="200" t="s">
        <v>1658</v>
      </c>
    </row>
    <row r="99" spans="1:15" ht="18.75">
      <c r="A99" s="728"/>
      <c r="B99" s="730"/>
      <c r="C99" s="768"/>
      <c r="D99" s="295" t="s">
        <v>1782</v>
      </c>
      <c r="E99" s="58" t="s">
        <v>1697</v>
      </c>
      <c r="F99" s="6" t="s">
        <v>1652</v>
      </c>
      <c r="G99" s="58" t="s">
        <v>1696</v>
      </c>
      <c r="H99" s="58" t="s">
        <v>1710</v>
      </c>
      <c r="I99" s="58" t="s">
        <v>1697</v>
      </c>
      <c r="J99" s="6" t="s">
        <v>1782</v>
      </c>
      <c r="K99" s="6" t="s">
        <v>1655</v>
      </c>
      <c r="L99" s="58" t="s">
        <v>1675</v>
      </c>
      <c r="M99" s="58" t="s">
        <v>1695</v>
      </c>
      <c r="N99" s="58" t="s">
        <v>1677</v>
      </c>
      <c r="O99" s="197" t="s">
        <v>1675</v>
      </c>
    </row>
    <row r="100" spans="1:15" ht="18.75">
      <c r="A100" s="728"/>
      <c r="B100" s="730"/>
      <c r="C100" s="768"/>
      <c r="D100" s="199" t="s">
        <v>1705</v>
      </c>
      <c r="E100" s="58" t="s">
        <v>1676</v>
      </c>
      <c r="F100" s="58" t="s">
        <v>1776</v>
      </c>
      <c r="G100" s="58" t="s">
        <v>1717</v>
      </c>
      <c r="H100" s="58" t="s">
        <v>1706</v>
      </c>
      <c r="I100" s="58" t="s">
        <v>1716</v>
      </c>
      <c r="J100" s="58" t="s">
        <v>1714</v>
      </c>
      <c r="K100" s="58" t="s">
        <v>1696</v>
      </c>
      <c r="L100" s="58" t="s">
        <v>1693</v>
      </c>
      <c r="M100" s="58" t="s">
        <v>1720</v>
      </c>
      <c r="N100" s="58" t="s">
        <v>1718</v>
      </c>
      <c r="O100" s="197" t="s">
        <v>1694</v>
      </c>
    </row>
    <row r="101" spans="1:15" ht="18.75">
      <c r="A101" s="728"/>
      <c r="B101" s="730"/>
      <c r="C101" s="768"/>
      <c r="D101" s="199" t="s">
        <v>1701</v>
      </c>
      <c r="E101" s="58" t="s">
        <v>1711</v>
      </c>
      <c r="F101" s="58" t="s">
        <v>1692</v>
      </c>
      <c r="G101" s="58" t="s">
        <v>1722</v>
      </c>
      <c r="H101" s="58" t="s">
        <v>1718</v>
      </c>
      <c r="I101" s="367"/>
      <c r="J101" s="58" t="s">
        <v>1710</v>
      </c>
      <c r="K101" s="58" t="s">
        <v>1720</v>
      </c>
      <c r="L101" s="58" t="s">
        <v>1701</v>
      </c>
      <c r="M101" s="367"/>
      <c r="N101" s="58" t="s">
        <v>1727</v>
      </c>
      <c r="O101" s="197" t="s">
        <v>1676</v>
      </c>
    </row>
    <row r="102" spans="1:15" ht="18.75">
      <c r="A102" s="728"/>
      <c r="B102" s="730"/>
      <c r="C102" s="768"/>
      <c r="D102" s="199" t="s">
        <v>1727</v>
      </c>
      <c r="E102" s="58" t="s">
        <v>1690</v>
      </c>
      <c r="F102" s="58" t="s">
        <v>1693</v>
      </c>
      <c r="G102" s="58" t="s">
        <v>1702</v>
      </c>
      <c r="H102" s="58" t="s">
        <v>1703</v>
      </c>
      <c r="I102" s="367"/>
      <c r="J102" s="58" t="s">
        <v>1700</v>
      </c>
      <c r="K102" s="58" t="s">
        <v>1715</v>
      </c>
      <c r="L102" s="58" t="s">
        <v>1707</v>
      </c>
      <c r="M102" s="367"/>
      <c r="N102" s="58" t="s">
        <v>1723</v>
      </c>
      <c r="O102" s="197" t="s">
        <v>1677</v>
      </c>
    </row>
    <row r="103" spans="1:15" ht="18.75">
      <c r="A103" s="728"/>
      <c r="B103" s="730"/>
      <c r="C103" s="768"/>
      <c r="D103" s="199" t="s">
        <v>1707</v>
      </c>
      <c r="E103" s="58" t="s">
        <v>1703</v>
      </c>
      <c r="F103" s="58" t="s">
        <v>1694</v>
      </c>
      <c r="G103" s="58" t="s">
        <v>1721</v>
      </c>
      <c r="H103" s="367"/>
      <c r="I103" s="367"/>
      <c r="J103" s="58" t="s">
        <v>1679</v>
      </c>
      <c r="K103" s="367"/>
      <c r="L103" s="58" t="s">
        <v>1698</v>
      </c>
      <c r="M103" s="367"/>
      <c r="N103" s="58" t="s">
        <v>1678</v>
      </c>
      <c r="O103" s="197" t="s">
        <v>1702</v>
      </c>
    </row>
    <row r="104" spans="1:15" ht="18.75">
      <c r="A104" s="728"/>
      <c r="B104" s="730"/>
      <c r="C104" s="768"/>
      <c r="D104" s="199" t="s">
        <v>1723</v>
      </c>
      <c r="E104" s="367"/>
      <c r="F104" s="58" t="s">
        <v>1695</v>
      </c>
      <c r="G104" s="367"/>
      <c r="H104" s="367"/>
      <c r="I104" s="367"/>
      <c r="J104" s="367"/>
      <c r="K104" s="367"/>
      <c r="L104" s="367"/>
      <c r="M104" s="367"/>
      <c r="N104" s="367"/>
      <c r="O104" s="197" t="s">
        <v>1721</v>
      </c>
    </row>
    <row r="105" spans="1:15" ht="18.75">
      <c r="A105" s="728"/>
      <c r="B105" s="730"/>
      <c r="C105" s="768"/>
      <c r="D105" s="199" t="s">
        <v>1698</v>
      </c>
      <c r="E105" s="57"/>
      <c r="F105" s="58" t="s">
        <v>1715</v>
      </c>
      <c r="G105" s="367"/>
      <c r="H105" s="367"/>
      <c r="I105" s="367"/>
      <c r="J105" s="367"/>
      <c r="K105" s="367"/>
      <c r="L105" s="367"/>
      <c r="M105" s="358"/>
      <c r="N105" s="367"/>
      <c r="O105" s="197" t="s">
        <v>1678</v>
      </c>
    </row>
    <row r="106" spans="1:15" ht="18.75">
      <c r="A106" s="728"/>
      <c r="B106" s="730"/>
      <c r="C106" s="768"/>
      <c r="D106" s="199" t="s">
        <v>1724</v>
      </c>
      <c r="E106" s="367"/>
      <c r="F106" s="58" t="s">
        <v>1716</v>
      </c>
      <c r="G106" s="367"/>
      <c r="H106" s="367"/>
      <c r="I106" s="367"/>
      <c r="J106" s="367"/>
      <c r="K106" s="367"/>
      <c r="L106" s="367"/>
      <c r="M106" s="358"/>
      <c r="N106" s="367"/>
      <c r="O106" s="361"/>
    </row>
    <row r="107" spans="1:15" ht="17.25" thickBot="1">
      <c r="A107" s="728"/>
      <c r="B107" s="730"/>
      <c r="C107" s="768"/>
      <c r="D107" s="373"/>
      <c r="E107" s="592"/>
      <c r="F107" s="374"/>
      <c r="G107" s="374"/>
      <c r="H107" s="390"/>
      <c r="I107" s="389"/>
      <c r="J107" s="375"/>
      <c r="K107" s="375"/>
      <c r="L107" s="374"/>
      <c r="M107" s="390"/>
      <c r="N107" s="374"/>
      <c r="O107" s="415"/>
    </row>
    <row r="108" spans="1:15" ht="17.25" thickBot="1">
      <c r="A108" s="737" t="s">
        <v>1285</v>
      </c>
      <c r="B108" s="737"/>
      <c r="C108" s="737"/>
      <c r="D108" s="591">
        <f t="shared" ref="D108:O108" si="5">COUNTA(D87:D106)</f>
        <v>20</v>
      </c>
      <c r="E108" s="591">
        <f t="shared" si="5"/>
        <v>17</v>
      </c>
      <c r="F108" s="591">
        <f t="shared" si="5"/>
        <v>19</v>
      </c>
      <c r="G108" s="591">
        <f t="shared" si="5"/>
        <v>17</v>
      </c>
      <c r="H108" s="591">
        <f t="shared" si="5"/>
        <v>16</v>
      </c>
      <c r="I108" s="591">
        <f t="shared" si="5"/>
        <v>14</v>
      </c>
      <c r="J108" s="591">
        <f t="shared" si="5"/>
        <v>17</v>
      </c>
      <c r="K108" s="591">
        <f t="shared" si="5"/>
        <v>16</v>
      </c>
      <c r="L108" s="591">
        <f t="shared" si="5"/>
        <v>17</v>
      </c>
      <c r="M108" s="591">
        <f t="shared" si="5"/>
        <v>14</v>
      </c>
      <c r="N108" s="591">
        <f t="shared" si="5"/>
        <v>17</v>
      </c>
      <c r="O108" s="591">
        <f t="shared" si="5"/>
        <v>19</v>
      </c>
    </row>
    <row r="109" spans="1:15" ht="18.75">
      <c r="A109" s="762" t="s">
        <v>1296</v>
      </c>
      <c r="B109" s="750" t="s">
        <v>139</v>
      </c>
      <c r="C109" s="759" t="s">
        <v>1297</v>
      </c>
      <c r="D109" s="456" t="s">
        <v>1714</v>
      </c>
      <c r="E109" s="571" t="s">
        <v>1714</v>
      </c>
      <c r="F109" s="571" t="s">
        <v>1832</v>
      </c>
      <c r="G109" s="571" t="s">
        <v>1832</v>
      </c>
      <c r="H109" s="236" t="s">
        <v>1742</v>
      </c>
      <c r="I109" s="236" t="s">
        <v>1742</v>
      </c>
      <c r="J109" s="570" t="s">
        <v>1690</v>
      </c>
      <c r="K109" s="570" t="s">
        <v>1690</v>
      </c>
      <c r="L109" s="380"/>
      <c r="M109" s="380"/>
      <c r="N109" s="570" t="s">
        <v>1679</v>
      </c>
      <c r="O109" s="569" t="s">
        <v>1679</v>
      </c>
    </row>
    <row r="110" spans="1:15" ht="19.5" thickBot="1">
      <c r="A110" s="763"/>
      <c r="B110" s="761"/>
      <c r="C110" s="757"/>
      <c r="D110" s="401"/>
      <c r="E110" s="403"/>
      <c r="F110" s="590"/>
      <c r="G110" s="589"/>
      <c r="H110" s="402"/>
      <c r="I110" s="402"/>
      <c r="J110" s="403"/>
      <c r="K110" s="403"/>
      <c r="L110" s="417"/>
      <c r="M110" s="416"/>
      <c r="N110" s="572" t="s">
        <v>1695</v>
      </c>
      <c r="O110" s="588" t="s">
        <v>1695</v>
      </c>
    </row>
    <row r="111" spans="1:15" ht="18.75">
      <c r="A111" s="763"/>
      <c r="B111" s="750" t="s">
        <v>1298</v>
      </c>
      <c r="C111" s="757"/>
      <c r="D111" s="454" t="s">
        <v>1688</v>
      </c>
      <c r="E111" s="236" t="s">
        <v>1688</v>
      </c>
      <c r="F111" s="571" t="s">
        <v>1711</v>
      </c>
      <c r="G111" s="571" t="s">
        <v>1711</v>
      </c>
      <c r="H111" s="570" t="s">
        <v>1693</v>
      </c>
      <c r="I111" s="570" t="s">
        <v>1693</v>
      </c>
      <c r="J111" s="570" t="s">
        <v>1697</v>
      </c>
      <c r="K111" s="570" t="s">
        <v>1697</v>
      </c>
      <c r="L111" s="570" t="s">
        <v>1694</v>
      </c>
      <c r="M111" s="570" t="s">
        <v>1694</v>
      </c>
      <c r="N111" s="570" t="s">
        <v>1700</v>
      </c>
      <c r="O111" s="569" t="s">
        <v>1700</v>
      </c>
    </row>
    <row r="112" spans="1:15" ht="18.75">
      <c r="A112" s="763"/>
      <c r="B112" s="761"/>
      <c r="C112" s="757"/>
      <c r="D112" s="295" t="s">
        <v>1776</v>
      </c>
      <c r="E112" s="6" t="s">
        <v>1776</v>
      </c>
      <c r="F112" s="57" t="s">
        <v>1701</v>
      </c>
      <c r="G112" s="57" t="s">
        <v>1701</v>
      </c>
      <c r="H112" s="551" t="s">
        <v>1717</v>
      </c>
      <c r="I112" s="551" t="s">
        <v>1717</v>
      </c>
      <c r="J112" s="551" t="s">
        <v>1722</v>
      </c>
      <c r="K112" s="551" t="s">
        <v>1722</v>
      </c>
      <c r="L112" s="551" t="s">
        <v>1676</v>
      </c>
      <c r="M112" s="551" t="s">
        <v>1676</v>
      </c>
      <c r="N112" s="551" t="s">
        <v>1696</v>
      </c>
      <c r="O112" s="587" t="s">
        <v>1696</v>
      </c>
    </row>
    <row r="113" spans="1:16" ht="19.5" thickBot="1">
      <c r="A113" s="763"/>
      <c r="B113" s="751"/>
      <c r="C113" s="757"/>
      <c r="D113" s="586" t="s">
        <v>1720</v>
      </c>
      <c r="E113" s="585" t="s">
        <v>1720</v>
      </c>
      <c r="F113" s="414"/>
      <c r="G113" s="414"/>
      <c r="H113" s="390"/>
      <c r="I113" s="390"/>
      <c r="J113" s="390"/>
      <c r="K113" s="390"/>
      <c r="L113" s="374"/>
      <c r="M113" s="390"/>
      <c r="N113" s="390"/>
      <c r="O113" s="377"/>
    </row>
    <row r="114" spans="1:16" ht="19.5" thickBot="1">
      <c r="A114" s="763"/>
      <c r="B114" s="419" t="s">
        <v>1299</v>
      </c>
      <c r="C114" s="757"/>
      <c r="D114" s="584"/>
      <c r="E114" s="584"/>
      <c r="F114" s="583"/>
      <c r="G114" s="583"/>
      <c r="H114" s="579"/>
      <c r="I114" s="579"/>
      <c r="J114" s="582"/>
      <c r="K114" s="581" t="s">
        <v>1705</v>
      </c>
      <c r="L114" s="581" t="s">
        <v>1705</v>
      </c>
      <c r="M114" s="580"/>
      <c r="N114" s="579"/>
      <c r="O114" s="578"/>
    </row>
    <row r="115" spans="1:16" ht="20.25" customHeight="1">
      <c r="A115" s="764"/>
      <c r="B115" s="750" t="s">
        <v>1300</v>
      </c>
      <c r="C115" s="757"/>
      <c r="D115" s="412"/>
      <c r="E115" s="380"/>
      <c r="F115" s="236" t="s">
        <v>1703</v>
      </c>
      <c r="G115" s="236" t="s">
        <v>1703</v>
      </c>
      <c r="H115" s="570" t="s">
        <v>1707</v>
      </c>
      <c r="I115" s="570" t="s">
        <v>1707</v>
      </c>
      <c r="J115" s="380"/>
      <c r="K115" s="380"/>
      <c r="L115" s="381"/>
      <c r="M115" s="381"/>
      <c r="N115" s="379"/>
      <c r="O115" s="424"/>
    </row>
    <row r="116" spans="1:16" ht="19.5" thickBot="1">
      <c r="A116" s="764"/>
      <c r="B116" s="751"/>
      <c r="C116" s="757"/>
      <c r="D116" s="401"/>
      <c r="E116" s="403"/>
      <c r="F116" s="577" t="s">
        <v>1678</v>
      </c>
      <c r="G116" s="577" t="s">
        <v>1678</v>
      </c>
      <c r="H116" s="576" t="s">
        <v>1715</v>
      </c>
      <c r="I116" s="576" t="s">
        <v>1715</v>
      </c>
      <c r="J116" s="437"/>
      <c r="K116" s="417"/>
      <c r="L116" s="417"/>
      <c r="M116" s="417"/>
      <c r="N116" s="436"/>
      <c r="O116" s="575"/>
    </row>
    <row r="117" spans="1:16" ht="18.75">
      <c r="A117" s="764"/>
      <c r="B117" s="750" t="s">
        <v>1301</v>
      </c>
      <c r="C117" s="757"/>
      <c r="D117" s="399"/>
      <c r="E117" s="381"/>
      <c r="F117" s="379"/>
      <c r="G117" s="574"/>
      <c r="H117" s="570" t="s">
        <v>1709</v>
      </c>
      <c r="I117" s="570" t="s">
        <v>1709</v>
      </c>
      <c r="J117" s="381"/>
      <c r="K117" s="381"/>
      <c r="L117" s="570" t="s">
        <v>1710</v>
      </c>
      <c r="M117" s="570" t="s">
        <v>1710</v>
      </c>
      <c r="N117" s="379"/>
      <c r="O117" s="424"/>
    </row>
    <row r="118" spans="1:16" ht="19.5" thickBot="1">
      <c r="A118" s="764"/>
      <c r="B118" s="751"/>
      <c r="C118" s="757"/>
      <c r="D118" s="439"/>
      <c r="E118" s="417"/>
      <c r="F118" s="573" t="s">
        <v>1718</v>
      </c>
      <c r="G118" s="573" t="s">
        <v>1718</v>
      </c>
      <c r="H118" s="572" t="s">
        <v>1719</v>
      </c>
      <c r="I118" s="572" t="s">
        <v>1719</v>
      </c>
      <c r="J118" s="437"/>
      <c r="K118" s="437"/>
      <c r="L118" s="572" t="s">
        <v>1706</v>
      </c>
      <c r="M118" s="572" t="s">
        <v>1706</v>
      </c>
      <c r="N118" s="403"/>
      <c r="O118" s="438"/>
    </row>
    <row r="119" spans="1:16" ht="18.75">
      <c r="A119" s="764"/>
      <c r="B119" s="750" t="s">
        <v>1302</v>
      </c>
      <c r="C119" s="757"/>
      <c r="D119" s="399"/>
      <c r="E119" s="571" t="s">
        <v>1698</v>
      </c>
      <c r="F119" s="571" t="s">
        <v>1698</v>
      </c>
      <c r="G119" s="380"/>
      <c r="H119" s="380"/>
      <c r="I119" s="381"/>
      <c r="J119" s="381"/>
      <c r="K119" s="381"/>
      <c r="L119" s="381"/>
      <c r="M119" s="380"/>
      <c r="N119" s="380"/>
      <c r="O119" s="400"/>
    </row>
    <row r="120" spans="1:16" ht="17.25" thickBot="1">
      <c r="A120" s="764"/>
      <c r="B120" s="751"/>
      <c r="C120" s="757"/>
      <c r="D120" s="401"/>
      <c r="E120" s="403"/>
      <c r="F120" s="436"/>
      <c r="G120" s="436"/>
      <c r="H120" s="402"/>
      <c r="I120" s="402"/>
      <c r="J120" s="436"/>
      <c r="K120" s="436"/>
      <c r="L120" s="417"/>
      <c r="M120" s="403"/>
      <c r="N120" s="403"/>
      <c r="O120" s="440"/>
    </row>
    <row r="121" spans="1:16" ht="18.75">
      <c r="A121" s="764"/>
      <c r="B121" s="750" t="s">
        <v>1303</v>
      </c>
      <c r="C121" s="757"/>
      <c r="D121" s="456" t="s">
        <v>1692</v>
      </c>
      <c r="E121" s="571" t="s">
        <v>1692</v>
      </c>
      <c r="F121" s="380" t="s">
        <v>1727</v>
      </c>
      <c r="G121" s="380" t="s">
        <v>1727</v>
      </c>
      <c r="H121" s="570" t="s">
        <v>1721</v>
      </c>
      <c r="I121" s="570" t="s">
        <v>1721</v>
      </c>
      <c r="J121" s="570" t="s">
        <v>1723</v>
      </c>
      <c r="K121" s="570" t="s">
        <v>1723</v>
      </c>
      <c r="L121" s="570" t="s">
        <v>1702</v>
      </c>
      <c r="M121" s="570" t="s">
        <v>1702</v>
      </c>
      <c r="N121" s="570" t="s">
        <v>1708</v>
      </c>
      <c r="O121" s="569" t="s">
        <v>1708</v>
      </c>
    </row>
    <row r="122" spans="1:16" ht="19.5" thickBot="1">
      <c r="A122" s="764"/>
      <c r="B122" s="751"/>
      <c r="C122" s="757"/>
      <c r="D122" s="428"/>
      <c r="E122" s="390"/>
      <c r="F122" s="414"/>
      <c r="G122" s="414"/>
      <c r="H122" s="414"/>
      <c r="I122" s="414"/>
      <c r="J122" s="568" t="s">
        <v>1716</v>
      </c>
      <c r="K122" s="568" t="s">
        <v>1716</v>
      </c>
      <c r="L122" s="389"/>
      <c r="M122" s="389"/>
      <c r="N122" s="390"/>
      <c r="O122" s="429"/>
    </row>
    <row r="123" spans="1:16" ht="19.5" thickBot="1">
      <c r="A123" s="765"/>
      <c r="B123" s="425" t="s">
        <v>154</v>
      </c>
      <c r="C123" s="757"/>
      <c r="D123" s="420"/>
      <c r="E123" s="340" t="s">
        <v>1675</v>
      </c>
      <c r="F123" s="340" t="s">
        <v>1675</v>
      </c>
      <c r="G123" s="567"/>
      <c r="H123" s="567"/>
      <c r="I123" s="567"/>
      <c r="J123" s="566"/>
      <c r="K123" s="566"/>
      <c r="L123" s="566"/>
      <c r="M123" s="566"/>
      <c r="N123" s="421"/>
      <c r="O123" s="423"/>
    </row>
    <row r="124" spans="1:16" ht="19.5" thickBot="1">
      <c r="A124" s="766"/>
      <c r="B124" s="425" t="s">
        <v>1304</v>
      </c>
      <c r="C124" s="760"/>
      <c r="D124" s="430"/>
      <c r="E124" s="353"/>
      <c r="F124" s="431"/>
      <c r="G124" s="431"/>
      <c r="H124" s="432"/>
      <c r="I124" s="432"/>
      <c r="J124" s="426"/>
      <c r="K124" s="426"/>
      <c r="L124" s="565" t="s">
        <v>1724</v>
      </c>
      <c r="M124" s="565" t="s">
        <v>1724</v>
      </c>
      <c r="N124" s="353"/>
      <c r="O124" s="427"/>
    </row>
    <row r="125" spans="1:16" ht="17.25" thickBot="1">
      <c r="A125" s="737" t="s">
        <v>1285</v>
      </c>
      <c r="B125" s="737"/>
      <c r="C125" s="737"/>
      <c r="D125" s="564">
        <f t="shared" ref="D125:O125" si="6">COUNTA(D109:D124)</f>
        <v>5</v>
      </c>
      <c r="E125" s="564">
        <f t="shared" si="6"/>
        <v>7</v>
      </c>
      <c r="F125" s="564">
        <f t="shared" si="6"/>
        <v>9</v>
      </c>
      <c r="G125" s="564">
        <f t="shared" si="6"/>
        <v>7</v>
      </c>
      <c r="H125" s="564">
        <f t="shared" si="6"/>
        <v>8</v>
      </c>
      <c r="I125" s="564">
        <f t="shared" si="6"/>
        <v>8</v>
      </c>
      <c r="J125" s="564">
        <f t="shared" si="6"/>
        <v>5</v>
      </c>
      <c r="K125" s="564">
        <f t="shared" si="6"/>
        <v>6</v>
      </c>
      <c r="L125" s="564">
        <f t="shared" si="6"/>
        <v>7</v>
      </c>
      <c r="M125" s="564">
        <f t="shared" si="6"/>
        <v>6</v>
      </c>
      <c r="N125" s="564">
        <f t="shared" si="6"/>
        <v>5</v>
      </c>
      <c r="O125" s="564">
        <f t="shared" si="6"/>
        <v>5</v>
      </c>
      <c r="P125" s="392"/>
    </row>
    <row r="126" spans="1:16" ht="18.75">
      <c r="A126" s="752" t="s">
        <v>1305</v>
      </c>
      <c r="B126" s="433" t="s">
        <v>1300</v>
      </c>
      <c r="C126" s="755" t="s">
        <v>1294</v>
      </c>
      <c r="D126" s="563"/>
      <c r="E126" s="393"/>
      <c r="F126" s="16" t="s">
        <v>1659</v>
      </c>
      <c r="G126" s="404"/>
      <c r="H126" s="393"/>
      <c r="I126" s="393"/>
      <c r="J126" s="393"/>
      <c r="K126" s="381"/>
      <c r="L126" s="393"/>
      <c r="M126" s="393"/>
      <c r="N126" s="393"/>
      <c r="O126" s="394"/>
    </row>
    <row r="127" spans="1:16">
      <c r="A127" s="753"/>
      <c r="B127" s="434" t="s">
        <v>263</v>
      </c>
      <c r="C127" s="756"/>
      <c r="D127" s="562"/>
      <c r="E127" s="384"/>
      <c r="F127" s="364"/>
      <c r="G127" s="384"/>
      <c r="H127" s="384"/>
      <c r="I127" s="384"/>
      <c r="J127" s="384"/>
      <c r="K127" s="384"/>
      <c r="L127" s="358"/>
      <c r="M127" s="384"/>
      <c r="N127" s="384"/>
      <c r="O127" s="395"/>
    </row>
    <row r="128" spans="1:16" ht="18.75">
      <c r="A128" s="753"/>
      <c r="B128" s="434" t="s">
        <v>1308</v>
      </c>
      <c r="C128" s="756"/>
      <c r="D128" s="562"/>
      <c r="E128" s="16" t="s">
        <v>1648</v>
      </c>
      <c r="F128" s="364"/>
      <c r="G128" s="384"/>
      <c r="H128" s="384"/>
      <c r="I128" s="384"/>
      <c r="J128" s="384"/>
      <c r="K128" s="384"/>
      <c r="L128" s="358"/>
      <c r="M128" s="384"/>
      <c r="N128" s="384"/>
      <c r="O128" s="395"/>
    </row>
    <row r="129" spans="1:16" ht="19.5" thickBot="1">
      <c r="A129" s="753"/>
      <c r="B129" s="434" t="s">
        <v>1306</v>
      </c>
      <c r="C129" s="756"/>
      <c r="D129" s="562"/>
      <c r="E129" s="384"/>
      <c r="F129" s="364"/>
      <c r="G129" s="384"/>
      <c r="H129" s="384"/>
      <c r="I129" s="384"/>
      <c r="J129" s="384"/>
      <c r="K129" s="16" t="s">
        <v>1768</v>
      </c>
      <c r="L129" s="16" t="s">
        <v>1764</v>
      </c>
      <c r="M129" s="384"/>
      <c r="N129" s="384"/>
      <c r="O129" s="395"/>
    </row>
    <row r="130" spans="1:16" ht="19.5" thickBot="1">
      <c r="A130" s="753"/>
      <c r="B130" s="425" t="s">
        <v>154</v>
      </c>
      <c r="C130" s="756"/>
      <c r="D130" s="561"/>
      <c r="E130" s="437"/>
      <c r="F130" s="436"/>
      <c r="G130" s="384"/>
      <c r="H130" s="16" t="s">
        <v>1741</v>
      </c>
      <c r="I130" s="16" t="s">
        <v>1657</v>
      </c>
      <c r="J130" s="437"/>
      <c r="K130" s="437"/>
      <c r="L130" s="417"/>
      <c r="M130" s="437"/>
      <c r="N130" s="437"/>
      <c r="O130" s="438"/>
    </row>
    <row r="131" spans="1:16" ht="19.5" thickBot="1">
      <c r="A131" s="754"/>
      <c r="B131" s="435" t="s">
        <v>139</v>
      </c>
      <c r="C131" s="756"/>
      <c r="D131" s="561"/>
      <c r="E131" s="417"/>
      <c r="F131" s="436"/>
      <c r="G131" s="16" t="s">
        <v>1656</v>
      </c>
      <c r="H131" s="437"/>
      <c r="I131" s="437"/>
      <c r="J131" s="417"/>
      <c r="K131" s="437"/>
      <c r="L131" s="437"/>
      <c r="M131" s="437"/>
      <c r="N131" s="437"/>
      <c r="O131" s="438"/>
    </row>
    <row r="132" spans="1:16" ht="18.75">
      <c r="A132" s="752" t="s">
        <v>1307</v>
      </c>
      <c r="B132" s="433" t="s">
        <v>157</v>
      </c>
      <c r="C132" s="756"/>
      <c r="D132" s="563"/>
      <c r="E132" s="381"/>
      <c r="F132" s="379"/>
      <c r="G132" s="379"/>
      <c r="H132" s="381"/>
      <c r="I132" s="31" t="s">
        <v>1638</v>
      </c>
      <c r="J132" s="381"/>
      <c r="K132" s="404"/>
      <c r="L132" s="381"/>
      <c r="M132" s="404"/>
      <c r="N132" s="379"/>
      <c r="O132" s="400"/>
    </row>
    <row r="133" spans="1:16">
      <c r="A133" s="753"/>
      <c r="B133" s="434" t="s">
        <v>176</v>
      </c>
      <c r="C133" s="756"/>
      <c r="D133" s="562"/>
      <c r="E133" s="384"/>
      <c r="F133" s="364"/>
      <c r="G133" s="364"/>
      <c r="H133" s="364"/>
      <c r="I133" s="358"/>
      <c r="J133" s="384"/>
      <c r="K133" s="384"/>
      <c r="L133" s="364"/>
      <c r="M133" s="367"/>
      <c r="N133" s="364"/>
      <c r="O133" s="395"/>
    </row>
    <row r="134" spans="1:16">
      <c r="A134" s="753"/>
      <c r="B134" s="434" t="s">
        <v>1306</v>
      </c>
      <c r="C134" s="756"/>
      <c r="D134" s="562"/>
      <c r="E134" s="384"/>
      <c r="F134" s="364"/>
      <c r="G134" s="364"/>
      <c r="H134" s="364"/>
      <c r="I134" s="358"/>
      <c r="J134" s="384"/>
      <c r="K134" s="384"/>
      <c r="L134" s="364"/>
      <c r="M134" s="367"/>
      <c r="N134" s="364"/>
      <c r="O134" s="395"/>
    </row>
    <row r="135" spans="1:16" ht="18.75">
      <c r="A135" s="753"/>
      <c r="B135" s="434" t="s">
        <v>1308</v>
      </c>
      <c r="C135" s="756"/>
      <c r="D135" s="562"/>
      <c r="E135" s="384"/>
      <c r="F135" s="364"/>
      <c r="G135" s="358"/>
      <c r="H135" s="364"/>
      <c r="I135" s="358"/>
      <c r="J135" s="384"/>
      <c r="K135" s="384"/>
      <c r="L135" s="31" t="s">
        <v>1663</v>
      </c>
      <c r="M135" s="367"/>
      <c r="N135" s="364"/>
      <c r="O135" s="395"/>
    </row>
    <row r="136" spans="1:16" ht="18.75">
      <c r="A136" s="753"/>
      <c r="B136" s="435" t="s">
        <v>154</v>
      </c>
      <c r="C136" s="756"/>
      <c r="D136" s="561"/>
      <c r="E136" s="437"/>
      <c r="F136" s="436"/>
      <c r="G136" s="31" t="s">
        <v>1674</v>
      </c>
      <c r="H136" s="436"/>
      <c r="I136" s="417"/>
      <c r="J136" s="437"/>
      <c r="K136" s="437"/>
      <c r="L136" s="417"/>
      <c r="M136" s="402"/>
      <c r="N136" s="436"/>
      <c r="O136" s="438"/>
    </row>
    <row r="137" spans="1:16" ht="17.25" thickBot="1">
      <c r="A137" s="754"/>
      <c r="B137" s="435" t="s">
        <v>139</v>
      </c>
      <c r="C137" s="756"/>
      <c r="D137" s="560"/>
      <c r="E137" s="437"/>
      <c r="F137" s="436"/>
      <c r="G137" s="402"/>
      <c r="H137" s="436"/>
      <c r="I137" s="417"/>
      <c r="J137" s="437"/>
      <c r="K137" s="437"/>
      <c r="L137" s="417"/>
      <c r="M137" s="417"/>
      <c r="N137" s="417"/>
      <c r="O137" s="440"/>
    </row>
    <row r="138" spans="1:16" ht="19.5" thickBot="1">
      <c r="A138" s="752" t="s">
        <v>1309</v>
      </c>
      <c r="B138" s="425" t="s">
        <v>154</v>
      </c>
      <c r="C138" s="757"/>
      <c r="D138" s="559"/>
      <c r="E138" s="404"/>
      <c r="F138" s="404"/>
      <c r="G138" s="404"/>
      <c r="H138" s="262" t="s">
        <v>1664</v>
      </c>
      <c r="I138" s="404"/>
      <c r="J138" s="404"/>
      <c r="K138" s="404"/>
      <c r="L138" s="404"/>
      <c r="M138" s="404"/>
      <c r="N138" s="404"/>
      <c r="O138" s="405"/>
    </row>
    <row r="139" spans="1:16" ht="19.5" thickBot="1">
      <c r="A139" s="753"/>
      <c r="B139" s="425" t="s">
        <v>1306</v>
      </c>
      <c r="C139" s="757"/>
      <c r="D139" s="373"/>
      <c r="E139" s="375"/>
      <c r="F139" s="375"/>
      <c r="G139" s="558" t="s">
        <v>1831</v>
      </c>
      <c r="H139" s="375"/>
      <c r="I139" s="375"/>
      <c r="J139" s="375"/>
      <c r="K139" s="375"/>
      <c r="L139" s="375"/>
      <c r="M139" s="375"/>
      <c r="N139" s="375"/>
      <c r="O139" s="377"/>
    </row>
    <row r="140" spans="1:16" ht="19.5" thickBot="1">
      <c r="A140" s="752" t="s">
        <v>1310</v>
      </c>
      <c r="B140" s="425" t="s">
        <v>176</v>
      </c>
      <c r="C140" s="756"/>
      <c r="D140" s="557"/>
      <c r="E140" s="556"/>
      <c r="F140" s="556"/>
      <c r="G140" s="554"/>
      <c r="H140" s="556"/>
      <c r="I140" s="555" t="s">
        <v>1649</v>
      </c>
      <c r="J140" s="554"/>
      <c r="K140" s="356"/>
      <c r="L140" s="356"/>
      <c r="M140" s="356"/>
      <c r="N140" s="356"/>
      <c r="O140" s="397"/>
    </row>
    <row r="141" spans="1:16" ht="19.5" thickBot="1">
      <c r="A141" s="754"/>
      <c r="B141" s="425" t="s">
        <v>1308</v>
      </c>
      <c r="C141" s="758"/>
      <c r="D141" s="553"/>
      <c r="E141" s="414"/>
      <c r="F141" s="414"/>
      <c r="G141" s="389"/>
      <c r="H141" s="414"/>
      <c r="I141" s="414"/>
      <c r="J141" s="374"/>
      <c r="K141" s="414"/>
      <c r="L141" s="15" t="s">
        <v>1640</v>
      </c>
      <c r="M141" s="374"/>
      <c r="N141" s="374"/>
      <c r="O141" s="415"/>
    </row>
    <row r="142" spans="1:16" ht="17.25" thickBot="1">
      <c r="A142" s="745" t="s">
        <v>1285</v>
      </c>
      <c r="B142" s="746"/>
      <c r="C142" s="747"/>
      <c r="D142" s="441">
        <f t="shared" ref="D142:O142" si="7">COUNTA(D126:D141)</f>
        <v>0</v>
      </c>
      <c r="E142" s="441">
        <f t="shared" si="7"/>
        <v>1</v>
      </c>
      <c r="F142" s="441">
        <f t="shared" si="7"/>
        <v>1</v>
      </c>
      <c r="G142" s="441">
        <f t="shared" si="7"/>
        <v>3</v>
      </c>
      <c r="H142" s="441">
        <f t="shared" si="7"/>
        <v>2</v>
      </c>
      <c r="I142" s="441">
        <f t="shared" si="7"/>
        <v>3</v>
      </c>
      <c r="J142" s="441">
        <f t="shared" si="7"/>
        <v>0</v>
      </c>
      <c r="K142" s="441">
        <f t="shared" si="7"/>
        <v>1</v>
      </c>
      <c r="L142" s="441">
        <f t="shared" si="7"/>
        <v>3</v>
      </c>
      <c r="M142" s="441">
        <f t="shared" si="7"/>
        <v>0</v>
      </c>
      <c r="N142" s="441">
        <f t="shared" si="7"/>
        <v>0</v>
      </c>
      <c r="O142" s="441">
        <f t="shared" si="7"/>
        <v>0</v>
      </c>
      <c r="P142" s="392"/>
    </row>
    <row r="143" spans="1:16" ht="17.25" thickBot="1">
      <c r="A143" s="748" t="s">
        <v>1311</v>
      </c>
      <c r="B143" s="749"/>
      <c r="C143" s="749"/>
      <c r="D143" s="442">
        <f t="shared" ref="D143:O143" si="8">D24+D51+D60+D72+D81+D86+D108+D125+D142</f>
        <v>82</v>
      </c>
      <c r="E143" s="442">
        <f t="shared" si="8"/>
        <v>79</v>
      </c>
      <c r="F143" s="442">
        <f t="shared" si="8"/>
        <v>82</v>
      </c>
      <c r="G143" s="442">
        <f t="shared" si="8"/>
        <v>85</v>
      </c>
      <c r="H143" s="442">
        <f t="shared" si="8"/>
        <v>79</v>
      </c>
      <c r="I143" s="442">
        <f t="shared" si="8"/>
        <v>79</v>
      </c>
      <c r="J143" s="442">
        <f t="shared" si="8"/>
        <v>80</v>
      </c>
      <c r="K143" s="442">
        <f t="shared" si="8"/>
        <v>76</v>
      </c>
      <c r="L143" s="442">
        <f t="shared" si="8"/>
        <v>75</v>
      </c>
      <c r="M143" s="442">
        <f t="shared" si="8"/>
        <v>75</v>
      </c>
      <c r="N143" s="442">
        <f t="shared" si="8"/>
        <v>75</v>
      </c>
      <c r="O143" s="442">
        <f t="shared" si="8"/>
        <v>75</v>
      </c>
    </row>
  </sheetData>
  <mergeCells count="48">
    <mergeCell ref="A108:C108"/>
    <mergeCell ref="A82:A85"/>
    <mergeCell ref="B82:B85"/>
    <mergeCell ref="C82:C85"/>
    <mergeCell ref="A86:C86"/>
    <mergeCell ref="A87:A107"/>
    <mergeCell ref="B87:B107"/>
    <mergeCell ref="C87:C107"/>
    <mergeCell ref="A142:C142"/>
    <mergeCell ref="A143:C143"/>
    <mergeCell ref="B119:B120"/>
    <mergeCell ref="B121:B122"/>
    <mergeCell ref="A125:C125"/>
    <mergeCell ref="A126:A131"/>
    <mergeCell ref="C126:C141"/>
    <mergeCell ref="A132:A137"/>
    <mergeCell ref="A140:A141"/>
    <mergeCell ref="C109:C124"/>
    <mergeCell ref="B111:B113"/>
    <mergeCell ref="B117:B118"/>
    <mergeCell ref="A138:A139"/>
    <mergeCell ref="B115:B116"/>
    <mergeCell ref="A109:A124"/>
    <mergeCell ref="B109:B110"/>
    <mergeCell ref="A60:C60"/>
    <mergeCell ref="A61:A71"/>
    <mergeCell ref="B61:B71"/>
    <mergeCell ref="A81:C81"/>
    <mergeCell ref="A72:C72"/>
    <mergeCell ref="A73:A78"/>
    <mergeCell ref="B73:B78"/>
    <mergeCell ref="A79:A80"/>
    <mergeCell ref="B79:B80"/>
    <mergeCell ref="A58:A59"/>
    <mergeCell ref="B58:B59"/>
    <mergeCell ref="A24:C24"/>
    <mergeCell ref="A1:O1"/>
    <mergeCell ref="A3:A19"/>
    <mergeCell ref="B3:B19"/>
    <mergeCell ref="A20:A23"/>
    <mergeCell ref="B20:B23"/>
    <mergeCell ref="A25:A48"/>
    <mergeCell ref="B25:B48"/>
    <mergeCell ref="A49:A50"/>
    <mergeCell ref="B49:B50"/>
    <mergeCell ref="A51:C51"/>
    <mergeCell ref="A52:A57"/>
    <mergeCell ref="B52:B57"/>
  </mergeCells>
  <phoneticPr fontId="5" type="noConversion"/>
  <conditionalFormatting sqref="K9">
    <cfRule type="duplicateValues" dxfId="396" priority="118"/>
  </conditionalFormatting>
  <conditionalFormatting sqref="D21">
    <cfRule type="duplicateValues" dxfId="395" priority="117"/>
  </conditionalFormatting>
  <conditionalFormatting sqref="D22">
    <cfRule type="duplicateValues" dxfId="394" priority="116"/>
  </conditionalFormatting>
  <conditionalFormatting sqref="E21">
    <cfRule type="duplicateValues" dxfId="393" priority="115"/>
  </conditionalFormatting>
  <conditionalFormatting sqref="E20">
    <cfRule type="duplicateValues" dxfId="392" priority="114"/>
  </conditionalFormatting>
  <conditionalFormatting sqref="G21">
    <cfRule type="duplicateValues" dxfId="391" priority="113"/>
  </conditionalFormatting>
  <conditionalFormatting sqref="J20">
    <cfRule type="duplicateValues" dxfId="390" priority="112"/>
  </conditionalFormatting>
  <conditionalFormatting sqref="L20">
    <cfRule type="duplicateValues" dxfId="389" priority="111"/>
  </conditionalFormatting>
  <conditionalFormatting sqref="O34">
    <cfRule type="duplicateValues" dxfId="388" priority="110"/>
  </conditionalFormatting>
  <conditionalFormatting sqref="D66:D67">
    <cfRule type="duplicateValues" dxfId="387" priority="109"/>
  </conditionalFormatting>
  <conditionalFormatting sqref="E66:E68">
    <cfRule type="duplicateValues" dxfId="386" priority="108"/>
  </conditionalFormatting>
  <conditionalFormatting sqref="F63">
    <cfRule type="duplicateValues" dxfId="385" priority="107"/>
  </conditionalFormatting>
  <conditionalFormatting sqref="F66 F64">
    <cfRule type="duplicateValues" dxfId="384" priority="106"/>
  </conditionalFormatting>
  <conditionalFormatting sqref="F65">
    <cfRule type="duplicateValues" dxfId="383" priority="105"/>
  </conditionalFormatting>
  <conditionalFormatting sqref="G63:G64">
    <cfRule type="duplicateValues" dxfId="382" priority="103"/>
  </conditionalFormatting>
  <conditionalFormatting sqref="G65:G67">
    <cfRule type="duplicateValues" dxfId="381" priority="104"/>
  </conditionalFormatting>
  <conditionalFormatting sqref="H65:H66">
    <cfRule type="duplicateValues" dxfId="380" priority="102"/>
  </conditionalFormatting>
  <conditionalFormatting sqref="I65:I67">
    <cfRule type="duplicateValues" dxfId="379" priority="101"/>
  </conditionalFormatting>
  <conditionalFormatting sqref="J64">
    <cfRule type="duplicateValues" dxfId="378" priority="99"/>
  </conditionalFormatting>
  <conditionalFormatting sqref="J65:J68">
    <cfRule type="duplicateValues" dxfId="377" priority="100"/>
  </conditionalFormatting>
  <conditionalFormatting sqref="K63">
    <cfRule type="duplicateValues" dxfId="376" priority="98"/>
  </conditionalFormatting>
  <conditionalFormatting sqref="K64:K66">
    <cfRule type="duplicateValues" dxfId="375" priority="97"/>
  </conditionalFormatting>
  <conditionalFormatting sqref="L64:L66">
    <cfRule type="duplicateValues" dxfId="374" priority="96"/>
  </conditionalFormatting>
  <conditionalFormatting sqref="M65:M67">
    <cfRule type="duplicateValues" dxfId="373" priority="95"/>
  </conditionalFormatting>
  <conditionalFormatting sqref="N66:N67">
    <cfRule type="duplicateValues" dxfId="372" priority="94"/>
  </conditionalFormatting>
  <conditionalFormatting sqref="O64:O66">
    <cfRule type="duplicateValues" dxfId="371" priority="93"/>
  </conditionalFormatting>
  <conditionalFormatting sqref="D74:O75">
    <cfRule type="duplicateValues" dxfId="370" priority="92"/>
  </conditionalFormatting>
  <conditionalFormatting sqref="D76:F76">
    <cfRule type="duplicateValues" dxfId="369" priority="91"/>
  </conditionalFormatting>
  <conditionalFormatting sqref="H76:K76">
    <cfRule type="duplicateValues" dxfId="368" priority="90"/>
  </conditionalFormatting>
  <conditionalFormatting sqref="M76:O76">
    <cfRule type="duplicateValues" dxfId="367" priority="89"/>
  </conditionalFormatting>
  <conditionalFormatting sqref="D77">
    <cfRule type="duplicateValues" dxfId="366" priority="88"/>
  </conditionalFormatting>
  <conditionalFormatting sqref="K73">
    <cfRule type="duplicateValues" dxfId="365" priority="87"/>
  </conditionalFormatting>
  <conditionalFormatting sqref="G95:G97">
    <cfRule type="duplicateValues" dxfId="364" priority="86"/>
  </conditionalFormatting>
  <conditionalFormatting sqref="D106">
    <cfRule type="duplicateValues" dxfId="363" priority="85"/>
  </conditionalFormatting>
  <conditionalFormatting sqref="E105">
    <cfRule type="duplicateValues" dxfId="362" priority="84"/>
  </conditionalFormatting>
  <conditionalFormatting sqref="F100:F106">
    <cfRule type="duplicateValues" dxfId="361" priority="83"/>
  </conditionalFormatting>
  <conditionalFormatting sqref="E98:E103">
    <cfRule type="duplicateValues" dxfId="360" priority="82"/>
  </conditionalFormatting>
  <conditionalFormatting sqref="D100:D106">
    <cfRule type="duplicateValues" dxfId="359" priority="81"/>
  </conditionalFormatting>
  <conditionalFormatting sqref="G98:H102">
    <cfRule type="duplicateValues" dxfId="358" priority="80"/>
  </conditionalFormatting>
  <conditionalFormatting sqref="G103">
    <cfRule type="duplicateValues" dxfId="357" priority="79"/>
  </conditionalFormatting>
  <conditionalFormatting sqref="I99:I100">
    <cfRule type="duplicateValues" dxfId="356" priority="78"/>
  </conditionalFormatting>
  <conditionalFormatting sqref="L98:L99">
    <cfRule type="duplicateValues" dxfId="355" priority="77"/>
  </conditionalFormatting>
  <conditionalFormatting sqref="J100:L102">
    <cfRule type="duplicateValues" dxfId="354" priority="76"/>
  </conditionalFormatting>
  <conditionalFormatting sqref="J103">
    <cfRule type="duplicateValues" dxfId="353" priority="75"/>
  </conditionalFormatting>
  <conditionalFormatting sqref="L103">
    <cfRule type="duplicateValues" dxfId="352" priority="74"/>
  </conditionalFormatting>
  <conditionalFormatting sqref="M96:M100">
    <cfRule type="duplicateValues" dxfId="351" priority="73"/>
  </conditionalFormatting>
  <conditionalFormatting sqref="N97:N103">
    <cfRule type="duplicateValues" dxfId="350" priority="72"/>
  </conditionalFormatting>
  <conditionalFormatting sqref="O99:O105">
    <cfRule type="duplicateValues" dxfId="349" priority="71"/>
  </conditionalFormatting>
  <conditionalFormatting sqref="D121">
    <cfRule type="duplicateValues" dxfId="348" priority="70"/>
  </conditionalFormatting>
  <conditionalFormatting sqref="D109">
    <cfRule type="duplicateValues" dxfId="347" priority="69"/>
  </conditionalFormatting>
  <conditionalFormatting sqref="D113">
    <cfRule type="duplicateValues" dxfId="346" priority="68"/>
  </conditionalFormatting>
  <conditionalFormatting sqref="E121">
    <cfRule type="duplicateValues" dxfId="345" priority="67"/>
  </conditionalFormatting>
  <conditionalFormatting sqref="E123">
    <cfRule type="duplicateValues" dxfId="344" priority="66"/>
  </conditionalFormatting>
  <conditionalFormatting sqref="F123">
    <cfRule type="duplicateValues" dxfId="343" priority="65"/>
  </conditionalFormatting>
  <conditionalFormatting sqref="E119">
    <cfRule type="duplicateValues" dxfId="342" priority="64"/>
  </conditionalFormatting>
  <conditionalFormatting sqref="F119">
    <cfRule type="duplicateValues" dxfId="341" priority="63"/>
  </conditionalFormatting>
  <conditionalFormatting sqref="F109">
    <cfRule type="duplicateValues" dxfId="340" priority="62"/>
  </conditionalFormatting>
  <conditionalFormatting sqref="G109">
    <cfRule type="duplicateValues" dxfId="339" priority="61"/>
  </conditionalFormatting>
  <conditionalFormatting sqref="F111">
    <cfRule type="duplicateValues" dxfId="338" priority="60"/>
  </conditionalFormatting>
  <conditionalFormatting sqref="G111">
    <cfRule type="duplicateValues" dxfId="337" priority="59"/>
  </conditionalFormatting>
  <conditionalFormatting sqref="F112">
    <cfRule type="duplicateValues" dxfId="336" priority="58"/>
  </conditionalFormatting>
  <conditionalFormatting sqref="G112">
    <cfRule type="duplicateValues" dxfId="335" priority="57"/>
  </conditionalFormatting>
  <conditionalFormatting sqref="F118">
    <cfRule type="duplicateValues" dxfId="334" priority="56"/>
  </conditionalFormatting>
  <conditionalFormatting sqref="G118">
    <cfRule type="duplicateValues" dxfId="333" priority="55"/>
  </conditionalFormatting>
  <conditionalFormatting sqref="F115">
    <cfRule type="duplicateValues" dxfId="332" priority="54"/>
  </conditionalFormatting>
  <conditionalFormatting sqref="F116">
    <cfRule type="duplicateValues" dxfId="331" priority="53"/>
  </conditionalFormatting>
  <conditionalFormatting sqref="G115">
    <cfRule type="duplicateValues" dxfId="330" priority="52"/>
  </conditionalFormatting>
  <conditionalFormatting sqref="G116">
    <cfRule type="duplicateValues" dxfId="329" priority="51"/>
  </conditionalFormatting>
  <conditionalFormatting sqref="H118">
    <cfRule type="duplicateValues" dxfId="328" priority="50"/>
  </conditionalFormatting>
  <conditionalFormatting sqref="H117">
    <cfRule type="duplicateValues" dxfId="327" priority="49"/>
  </conditionalFormatting>
  <conditionalFormatting sqref="I118">
    <cfRule type="duplicateValues" dxfId="326" priority="48"/>
  </conditionalFormatting>
  <conditionalFormatting sqref="I117">
    <cfRule type="duplicateValues" dxfId="325" priority="47"/>
  </conditionalFormatting>
  <conditionalFormatting sqref="H111">
    <cfRule type="duplicateValues" dxfId="324" priority="46"/>
  </conditionalFormatting>
  <conditionalFormatting sqref="H112">
    <cfRule type="duplicateValues" dxfId="323" priority="45"/>
  </conditionalFormatting>
  <conditionalFormatting sqref="I111">
    <cfRule type="duplicateValues" dxfId="322" priority="44"/>
  </conditionalFormatting>
  <conditionalFormatting sqref="I112">
    <cfRule type="duplicateValues" dxfId="321" priority="43"/>
  </conditionalFormatting>
  <conditionalFormatting sqref="H115">
    <cfRule type="duplicateValues" dxfId="320" priority="42"/>
  </conditionalFormatting>
  <conditionalFormatting sqref="I115">
    <cfRule type="duplicateValues" dxfId="319" priority="41"/>
  </conditionalFormatting>
  <conditionalFormatting sqref="H116">
    <cfRule type="duplicateValues" dxfId="318" priority="40"/>
  </conditionalFormatting>
  <conditionalFormatting sqref="I116">
    <cfRule type="duplicateValues" dxfId="317" priority="39"/>
  </conditionalFormatting>
  <conditionalFormatting sqref="H121">
    <cfRule type="duplicateValues" dxfId="316" priority="38"/>
  </conditionalFormatting>
  <conditionalFormatting sqref="I121">
    <cfRule type="duplicateValues" dxfId="315" priority="37"/>
  </conditionalFormatting>
  <conditionalFormatting sqref="J112">
    <cfRule type="duplicateValues" dxfId="314" priority="36"/>
  </conditionalFormatting>
  <conditionalFormatting sqref="J111">
    <cfRule type="duplicateValues" dxfId="313" priority="35"/>
  </conditionalFormatting>
  <conditionalFormatting sqref="K112">
    <cfRule type="duplicateValues" dxfId="312" priority="34"/>
  </conditionalFormatting>
  <conditionalFormatting sqref="K111">
    <cfRule type="duplicateValues" dxfId="311" priority="33"/>
  </conditionalFormatting>
  <conditionalFormatting sqref="J109">
    <cfRule type="duplicateValues" dxfId="310" priority="32"/>
  </conditionalFormatting>
  <conditionalFormatting sqref="K109">
    <cfRule type="duplicateValues" dxfId="309" priority="31"/>
  </conditionalFormatting>
  <conditionalFormatting sqref="J121">
    <cfRule type="duplicateValues" dxfId="308" priority="30"/>
  </conditionalFormatting>
  <conditionalFormatting sqref="J122">
    <cfRule type="duplicateValues" dxfId="307" priority="29"/>
  </conditionalFormatting>
  <conditionalFormatting sqref="K121">
    <cfRule type="duplicateValues" dxfId="306" priority="28"/>
  </conditionalFormatting>
  <conditionalFormatting sqref="K122">
    <cfRule type="duplicateValues" dxfId="305" priority="27"/>
  </conditionalFormatting>
  <conditionalFormatting sqref="K114">
    <cfRule type="duplicateValues" dxfId="304" priority="26"/>
  </conditionalFormatting>
  <conditionalFormatting sqref="L114">
    <cfRule type="duplicateValues" dxfId="303" priority="25"/>
  </conditionalFormatting>
  <conditionalFormatting sqref="L118">
    <cfRule type="duplicateValues" dxfId="302" priority="24"/>
  </conditionalFormatting>
  <conditionalFormatting sqref="L117">
    <cfRule type="duplicateValues" dxfId="301" priority="23"/>
  </conditionalFormatting>
  <conditionalFormatting sqref="M118">
    <cfRule type="duplicateValues" dxfId="300" priority="22"/>
  </conditionalFormatting>
  <conditionalFormatting sqref="M117">
    <cfRule type="duplicateValues" dxfId="299" priority="21"/>
  </conditionalFormatting>
  <conditionalFormatting sqref="L112">
    <cfRule type="duplicateValues" dxfId="298" priority="20"/>
  </conditionalFormatting>
  <conditionalFormatting sqref="L111">
    <cfRule type="duplicateValues" dxfId="297" priority="19"/>
  </conditionalFormatting>
  <conditionalFormatting sqref="L121">
    <cfRule type="duplicateValues" dxfId="296" priority="18"/>
  </conditionalFormatting>
  <conditionalFormatting sqref="M121">
    <cfRule type="duplicateValues" dxfId="295" priority="17"/>
  </conditionalFormatting>
  <conditionalFormatting sqref="L124">
    <cfRule type="duplicateValues" dxfId="294" priority="16"/>
  </conditionalFormatting>
  <conditionalFormatting sqref="M124">
    <cfRule type="duplicateValues" dxfId="293" priority="15"/>
  </conditionalFormatting>
  <conditionalFormatting sqref="N112">
    <cfRule type="duplicateValues" dxfId="292" priority="14"/>
  </conditionalFormatting>
  <conditionalFormatting sqref="N111">
    <cfRule type="duplicateValues" dxfId="291" priority="13"/>
  </conditionalFormatting>
  <conditionalFormatting sqref="N110">
    <cfRule type="duplicateValues" dxfId="290" priority="12"/>
  </conditionalFormatting>
  <conditionalFormatting sqref="N109">
    <cfRule type="duplicateValues" dxfId="289" priority="11"/>
  </conditionalFormatting>
  <conditionalFormatting sqref="N121">
    <cfRule type="duplicateValues" dxfId="288" priority="10"/>
  </conditionalFormatting>
  <conditionalFormatting sqref="O121">
    <cfRule type="duplicateValues" dxfId="287" priority="9"/>
  </conditionalFormatting>
  <conditionalFormatting sqref="E109">
    <cfRule type="duplicateValues" dxfId="286" priority="8"/>
  </conditionalFormatting>
  <conditionalFormatting sqref="E113">
    <cfRule type="duplicateValues" dxfId="285" priority="7"/>
  </conditionalFormatting>
  <conditionalFormatting sqref="O112">
    <cfRule type="duplicateValues" dxfId="284" priority="6"/>
  </conditionalFormatting>
  <conditionalFormatting sqref="O111">
    <cfRule type="duplicateValues" dxfId="283" priority="5"/>
  </conditionalFormatting>
  <conditionalFormatting sqref="O110">
    <cfRule type="duplicateValues" dxfId="282" priority="4"/>
  </conditionalFormatting>
  <conditionalFormatting sqref="O109">
    <cfRule type="duplicateValues" dxfId="281" priority="3"/>
  </conditionalFormatting>
  <conditionalFormatting sqref="M112">
    <cfRule type="duplicateValues" dxfId="280" priority="2"/>
  </conditionalFormatting>
  <conditionalFormatting sqref="M111">
    <cfRule type="duplicateValues" dxfId="279" priority="1"/>
  </conditionalFormatting>
  <pageMargins left="0.27559055118110237" right="0.15748031496062992" top="0.27559055118110237" bottom="0.15748031496062992" header="0.31496062992125984" footer="0.31496062992125984"/>
  <pageSetup paperSize="9" scale="3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P35"/>
  <sheetViews>
    <sheetView zoomScale="70" zoomScaleNormal="70" zoomScaleSheetLayoutView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F23" sqref="AF23"/>
    </sheetView>
  </sheetViews>
  <sheetFormatPr defaultColWidth="10.140625" defaultRowHeight="20.100000000000001" customHeight="1"/>
  <cols>
    <col min="1" max="1" width="7" style="205" bestFit="1" customWidth="1"/>
    <col min="2" max="2" width="5.5703125" style="205" customWidth="1"/>
    <col min="3" max="6" width="29.28515625" style="205" customWidth="1"/>
    <col min="7" max="7" width="5.5703125" style="205" customWidth="1"/>
    <col min="8" max="8" width="7" style="205" bestFit="1" customWidth="1"/>
    <col min="9" max="9" width="5.5703125" style="205" customWidth="1"/>
    <col min="10" max="15" width="29.28515625" style="206" customWidth="1"/>
    <col min="16" max="19" width="29.28515625" style="205" customWidth="1"/>
    <col min="20" max="20" width="28.7109375" style="205" bestFit="1" customWidth="1"/>
    <col min="21" max="21" width="19.5703125" style="205" bestFit="1" customWidth="1"/>
    <col min="22" max="23" width="29.28515625" style="205" customWidth="1"/>
    <col min="24" max="24" width="29.7109375" style="205" customWidth="1"/>
    <col min="25" max="33" width="29.28515625" style="205" customWidth="1"/>
    <col min="34" max="34" width="30.85546875" style="205" customWidth="1"/>
    <col min="35" max="41" width="29.28515625" style="205" customWidth="1"/>
    <col min="42" max="42" width="27.7109375" style="205" customWidth="1"/>
    <col min="43" max="52" width="10.140625" style="205" customWidth="1"/>
    <col min="53" max="16384" width="10.140625" style="205"/>
  </cols>
  <sheetData>
    <row r="1" spans="1:42" ht="20.100000000000001" customHeight="1" thickBot="1">
      <c r="A1" s="788" t="s">
        <v>1591</v>
      </c>
      <c r="B1" s="789"/>
      <c r="C1" s="789"/>
      <c r="D1" s="789"/>
      <c r="E1" s="789"/>
      <c r="F1" s="789"/>
      <c r="G1" s="789"/>
      <c r="H1" s="789"/>
      <c r="I1" s="789"/>
      <c r="J1" s="789"/>
      <c r="K1" s="789"/>
      <c r="L1" s="789"/>
      <c r="M1" s="789"/>
      <c r="N1" s="789"/>
      <c r="O1" s="789"/>
      <c r="P1" s="790"/>
      <c r="Q1" s="790"/>
      <c r="R1" s="790"/>
      <c r="S1" s="790"/>
      <c r="T1" s="789"/>
      <c r="U1" s="789"/>
      <c r="V1" s="789"/>
      <c r="W1" s="789"/>
      <c r="X1" s="789"/>
      <c r="Y1" s="789"/>
      <c r="Z1" s="789"/>
      <c r="AA1" s="789"/>
      <c r="AB1" s="789"/>
      <c r="AC1" s="789"/>
      <c r="AD1" s="789"/>
      <c r="AE1" s="790"/>
      <c r="AF1" s="790"/>
      <c r="AG1" s="790"/>
      <c r="AH1" s="789"/>
      <c r="AI1" s="789"/>
      <c r="AJ1" s="789"/>
      <c r="AK1" s="789"/>
      <c r="AL1" s="789"/>
      <c r="AM1" s="789"/>
      <c r="AN1" s="789"/>
      <c r="AO1" s="789"/>
      <c r="AP1" s="791"/>
    </row>
    <row r="2" spans="1:42" ht="20.100000000000001" customHeight="1" thickBot="1">
      <c r="A2" s="795" t="s">
        <v>1582</v>
      </c>
      <c r="B2" s="796"/>
      <c r="C2" s="796"/>
      <c r="D2" s="796"/>
      <c r="E2" s="796"/>
      <c r="F2" s="797"/>
      <c r="G2" s="324"/>
      <c r="H2" s="798" t="s">
        <v>1334</v>
      </c>
      <c r="I2" s="799"/>
      <c r="J2" s="792" t="s">
        <v>1326</v>
      </c>
      <c r="K2" s="800"/>
      <c r="L2" s="800"/>
      <c r="M2" s="800"/>
      <c r="N2" s="800"/>
      <c r="O2" s="800"/>
      <c r="P2" s="792" t="s">
        <v>1556</v>
      </c>
      <c r="Q2" s="778"/>
      <c r="R2" s="778"/>
      <c r="S2" s="779"/>
      <c r="T2" s="777" t="s">
        <v>1330</v>
      </c>
      <c r="U2" s="777"/>
      <c r="V2" s="778"/>
      <c r="W2" s="778"/>
      <c r="X2" s="778"/>
      <c r="Y2" s="779"/>
      <c r="Z2" s="792" t="s">
        <v>1331</v>
      </c>
      <c r="AA2" s="778"/>
      <c r="AB2" s="778"/>
      <c r="AC2" s="778"/>
      <c r="AD2" s="801"/>
      <c r="AE2" s="792" t="s">
        <v>1332</v>
      </c>
      <c r="AF2" s="778"/>
      <c r="AG2" s="779"/>
      <c r="AH2" s="793" t="s">
        <v>1557</v>
      </c>
      <c r="AI2" s="793"/>
      <c r="AJ2" s="785" t="s">
        <v>1558</v>
      </c>
      <c r="AK2" s="786"/>
      <c r="AL2" s="786"/>
      <c r="AM2" s="786"/>
      <c r="AN2" s="786"/>
      <c r="AO2" s="786"/>
      <c r="AP2" s="787"/>
    </row>
    <row r="3" spans="1:42" ht="20.100000000000001" customHeight="1" thickBot="1">
      <c r="A3" s="319" t="s">
        <v>1320</v>
      </c>
      <c r="B3" s="280" t="s">
        <v>1321</v>
      </c>
      <c r="C3" s="326" t="s">
        <v>1322</v>
      </c>
      <c r="D3" s="266" t="s">
        <v>1323</v>
      </c>
      <c r="E3" s="266" t="s">
        <v>1324</v>
      </c>
      <c r="F3" s="325" t="s">
        <v>1325</v>
      </c>
      <c r="G3" s="324"/>
      <c r="H3" s="319" t="s">
        <v>1320</v>
      </c>
      <c r="I3" s="323" t="s">
        <v>1321</v>
      </c>
      <c r="J3" s="515" t="s">
        <v>1559</v>
      </c>
      <c r="K3" s="513" t="s">
        <v>1560</v>
      </c>
      <c r="L3" s="513" t="s">
        <v>1561</v>
      </c>
      <c r="M3" s="513" t="s">
        <v>1562</v>
      </c>
      <c r="N3" s="513" t="s">
        <v>1563</v>
      </c>
      <c r="O3" s="638" t="s">
        <v>1564</v>
      </c>
      <c r="P3" s="321" t="s">
        <v>1327</v>
      </c>
      <c r="Q3" s="320" t="s">
        <v>1328</v>
      </c>
      <c r="R3" s="320" t="s">
        <v>1329</v>
      </c>
      <c r="S3" s="333" t="s">
        <v>1565</v>
      </c>
      <c r="T3" s="780" t="s">
        <v>1566</v>
      </c>
      <c r="U3" s="781"/>
      <c r="V3" s="335" t="s">
        <v>1313</v>
      </c>
      <c r="W3" s="335" t="s">
        <v>1314</v>
      </c>
      <c r="X3" s="335" t="s">
        <v>1315</v>
      </c>
      <c r="Y3" s="336" t="s">
        <v>1567</v>
      </c>
      <c r="Z3" s="345" t="s">
        <v>1568</v>
      </c>
      <c r="AA3" s="346" t="s">
        <v>1569</v>
      </c>
      <c r="AB3" s="346" t="s">
        <v>1570</v>
      </c>
      <c r="AC3" s="346" t="s">
        <v>1571</v>
      </c>
      <c r="AD3" s="347" t="s">
        <v>1572</v>
      </c>
      <c r="AE3" s="625" t="s">
        <v>1316</v>
      </c>
      <c r="AF3" s="335" t="s">
        <v>1583</v>
      </c>
      <c r="AG3" s="626" t="s">
        <v>1317</v>
      </c>
      <c r="AH3" s="326" t="s">
        <v>1318</v>
      </c>
      <c r="AI3" s="341" t="s">
        <v>1319</v>
      </c>
      <c r="AJ3" s="322" t="s">
        <v>1391</v>
      </c>
      <c r="AK3" s="280" t="s">
        <v>1390</v>
      </c>
      <c r="AL3" s="280" t="s">
        <v>1392</v>
      </c>
      <c r="AM3" s="280" t="s">
        <v>1393</v>
      </c>
      <c r="AN3" s="280" t="s">
        <v>1394</v>
      </c>
      <c r="AO3" s="280" t="s">
        <v>1573</v>
      </c>
      <c r="AP3" s="279" t="s">
        <v>1798</v>
      </c>
    </row>
    <row r="4" spans="1:42" s="206" customFormat="1" ht="18.75">
      <c r="A4" s="794">
        <v>115</v>
      </c>
      <c r="B4" s="264">
        <v>8</v>
      </c>
      <c r="C4" s="318" t="s">
        <v>1791</v>
      </c>
      <c r="D4" s="195" t="s">
        <v>1709</v>
      </c>
      <c r="E4" s="195" t="s">
        <v>1710</v>
      </c>
      <c r="F4" s="196" t="s">
        <v>1702</v>
      </c>
      <c r="H4" s="794">
        <v>115</v>
      </c>
      <c r="I4" s="631">
        <v>8</v>
      </c>
      <c r="J4" s="318" t="s">
        <v>1696</v>
      </c>
      <c r="K4" s="234"/>
      <c r="L4" s="195" t="s">
        <v>1686</v>
      </c>
      <c r="M4" s="339"/>
      <c r="N4" s="195" t="s">
        <v>1733</v>
      </c>
      <c r="O4" s="640" t="s">
        <v>1797</v>
      </c>
      <c r="P4" s="636" t="s">
        <v>1790</v>
      </c>
      <c r="Q4" s="174" t="s">
        <v>1666</v>
      </c>
      <c r="R4" s="174" t="s">
        <v>1662</v>
      </c>
      <c r="S4" s="317" t="s">
        <v>1722</v>
      </c>
      <c r="T4" s="337"/>
      <c r="U4" s="234"/>
      <c r="V4" s="236" t="s">
        <v>1789</v>
      </c>
      <c r="W4" s="261" t="s">
        <v>1656</v>
      </c>
      <c r="X4" s="195" t="s">
        <v>1700</v>
      </c>
      <c r="Y4" s="260"/>
      <c r="Z4" s="344" t="s">
        <v>1741</v>
      </c>
      <c r="AA4" s="236" t="s">
        <v>1792</v>
      </c>
      <c r="AB4" s="234"/>
      <c r="AC4" s="195" t="s">
        <v>1706</v>
      </c>
      <c r="AD4" s="624"/>
      <c r="AE4" s="454" t="s">
        <v>1744</v>
      </c>
      <c r="AF4" s="236" t="s">
        <v>1796</v>
      </c>
      <c r="AG4" s="260"/>
      <c r="AH4" s="344" t="s">
        <v>1778</v>
      </c>
      <c r="AI4" s="343"/>
      <c r="AJ4" s="342" t="s">
        <v>1687</v>
      </c>
      <c r="AK4" s="234"/>
      <c r="AL4" s="234"/>
      <c r="AM4" s="234"/>
      <c r="AN4" s="234"/>
      <c r="AO4" s="571" t="s">
        <v>1795</v>
      </c>
      <c r="AP4" s="480"/>
    </row>
    <row r="5" spans="1:42" s="206" customFormat="1" ht="20.100000000000001" customHeight="1">
      <c r="A5" s="773"/>
      <c r="B5" s="250">
        <v>9</v>
      </c>
      <c r="C5" s="329" t="s">
        <v>1785</v>
      </c>
      <c r="D5" s="58" t="s">
        <v>1700</v>
      </c>
      <c r="E5" s="58" t="s">
        <v>1722</v>
      </c>
      <c r="F5" s="197" t="s">
        <v>1696</v>
      </c>
      <c r="H5" s="773"/>
      <c r="I5" s="223">
        <v>9</v>
      </c>
      <c r="J5" s="199" t="s">
        <v>1724</v>
      </c>
      <c r="K5" s="629" t="s">
        <v>1666</v>
      </c>
      <c r="L5" s="629" t="s">
        <v>1789</v>
      </c>
      <c r="M5" s="11"/>
      <c r="N5" s="221"/>
      <c r="O5" s="249"/>
      <c r="P5" s="2" t="s">
        <v>1792</v>
      </c>
      <c r="Q5" s="6" t="s">
        <v>1786</v>
      </c>
      <c r="R5" s="16" t="s">
        <v>1778</v>
      </c>
      <c r="S5" s="303" t="s">
        <v>1710</v>
      </c>
      <c r="T5" s="258"/>
      <c r="U5" s="221"/>
      <c r="V5" s="58" t="s">
        <v>1702</v>
      </c>
      <c r="W5" s="221"/>
      <c r="X5" s="6" t="s">
        <v>1662</v>
      </c>
      <c r="Y5" s="327" t="s">
        <v>1741</v>
      </c>
      <c r="Z5" s="273"/>
      <c r="AA5" s="259"/>
      <c r="AB5" s="6" t="s">
        <v>1790</v>
      </c>
      <c r="AC5" s="6" t="s">
        <v>1742</v>
      </c>
      <c r="AD5" s="169" t="s">
        <v>1791</v>
      </c>
      <c r="AE5" s="199" t="s">
        <v>1709</v>
      </c>
      <c r="AF5" s="259"/>
      <c r="AG5" s="327" t="s">
        <v>1783</v>
      </c>
      <c r="AH5" s="2" t="s">
        <v>1787</v>
      </c>
      <c r="AI5" s="327" t="s">
        <v>1656</v>
      </c>
      <c r="AJ5" s="258"/>
      <c r="AK5" s="621" t="s">
        <v>1794</v>
      </c>
      <c r="AL5" s="221"/>
      <c r="AM5" s="259"/>
      <c r="AN5" s="57"/>
      <c r="AO5" s="221"/>
      <c r="AP5" s="197" t="s">
        <v>1706</v>
      </c>
    </row>
    <row r="6" spans="1:42" s="206" customFormat="1" ht="19.5" customHeight="1">
      <c r="A6" s="773"/>
      <c r="B6" s="250">
        <v>10</v>
      </c>
      <c r="C6" s="199" t="s">
        <v>1742</v>
      </c>
      <c r="D6" s="16" t="s">
        <v>1783</v>
      </c>
      <c r="E6" s="58" t="s">
        <v>1706</v>
      </c>
      <c r="F6" s="197" t="s">
        <v>1724</v>
      </c>
      <c r="H6" s="773"/>
      <c r="I6" s="223">
        <v>10</v>
      </c>
      <c r="J6" s="258"/>
      <c r="K6" s="629" t="s">
        <v>1792</v>
      </c>
      <c r="L6" s="300"/>
      <c r="M6" s="259"/>
      <c r="N6" s="16" t="s">
        <v>1741</v>
      </c>
      <c r="O6" s="249"/>
      <c r="P6" s="309" t="s">
        <v>1791</v>
      </c>
      <c r="Q6" s="6" t="s">
        <v>1787</v>
      </c>
      <c r="R6" s="58" t="s">
        <v>1709</v>
      </c>
      <c r="S6" s="303" t="s">
        <v>1702</v>
      </c>
      <c r="T6" s="329" t="s">
        <v>1785</v>
      </c>
      <c r="U6" s="221"/>
      <c r="V6" s="16" t="s">
        <v>1778</v>
      </c>
      <c r="W6" s="6" t="s">
        <v>1666</v>
      </c>
      <c r="X6" s="16" t="s">
        <v>1740</v>
      </c>
      <c r="Y6" s="197" t="s">
        <v>1696</v>
      </c>
      <c r="Z6" s="308"/>
      <c r="AA6" s="16" t="s">
        <v>1656</v>
      </c>
      <c r="AB6" s="58" t="s">
        <v>1700</v>
      </c>
      <c r="AC6" s="259"/>
      <c r="AD6" s="303" t="s">
        <v>1720</v>
      </c>
      <c r="AE6" s="258"/>
      <c r="AF6" s="629" t="s">
        <v>1790</v>
      </c>
      <c r="AG6" s="200" t="s">
        <v>1786</v>
      </c>
      <c r="AH6" s="2" t="s">
        <v>1789</v>
      </c>
      <c r="AI6" s="200" t="s">
        <v>1662</v>
      </c>
      <c r="AJ6" s="258"/>
      <c r="AK6" s="221"/>
      <c r="AL6" s="621" t="s">
        <v>1788</v>
      </c>
      <c r="AM6" s="259"/>
      <c r="AN6" s="221"/>
      <c r="AO6" s="221"/>
      <c r="AP6" s="197" t="s">
        <v>1722</v>
      </c>
    </row>
    <row r="7" spans="1:42" s="206" customFormat="1" ht="18.75">
      <c r="A7" s="773"/>
      <c r="B7" s="250">
        <v>11</v>
      </c>
      <c r="C7" s="329" t="s">
        <v>1657</v>
      </c>
      <c r="D7" s="58" t="s">
        <v>1714</v>
      </c>
      <c r="E7" s="58" t="s">
        <v>1676</v>
      </c>
      <c r="F7" s="197" t="s">
        <v>1675</v>
      </c>
      <c r="H7" s="773"/>
      <c r="I7" s="223">
        <v>11</v>
      </c>
      <c r="J7" s="258"/>
      <c r="K7" s="221"/>
      <c r="L7" s="629" t="s">
        <v>1787</v>
      </c>
      <c r="M7" s="58" t="s">
        <v>1679</v>
      </c>
      <c r="N7" s="58" t="s">
        <v>1723</v>
      </c>
      <c r="O7" s="249"/>
      <c r="P7" s="2" t="s">
        <v>1786</v>
      </c>
      <c r="Q7" s="6" t="s">
        <v>1780</v>
      </c>
      <c r="R7" s="6" t="s">
        <v>1781</v>
      </c>
      <c r="S7" s="303" t="s">
        <v>1742</v>
      </c>
      <c r="T7" s="329" t="s">
        <v>1778</v>
      </c>
      <c r="U7" s="221"/>
      <c r="V7" s="16" t="s">
        <v>1659</v>
      </c>
      <c r="W7" s="58" t="s">
        <v>1690</v>
      </c>
      <c r="X7" s="221"/>
      <c r="Y7" s="200" t="s">
        <v>1779</v>
      </c>
      <c r="Z7" s="254" t="s">
        <v>1783</v>
      </c>
      <c r="AA7" s="58" t="s">
        <v>1724</v>
      </c>
      <c r="AB7" s="259"/>
      <c r="AC7" s="221"/>
      <c r="AD7" s="223"/>
      <c r="AE7" s="295" t="s">
        <v>1782</v>
      </c>
      <c r="AF7" s="58" t="s">
        <v>1720</v>
      </c>
      <c r="AG7" s="249"/>
      <c r="AH7" s="254" t="s">
        <v>1785</v>
      </c>
      <c r="AI7" s="327" t="s">
        <v>1741</v>
      </c>
      <c r="AJ7" s="258"/>
      <c r="AK7" s="221"/>
      <c r="AL7" s="259"/>
      <c r="AM7" s="621" t="s">
        <v>1784</v>
      </c>
      <c r="AN7" s="221"/>
      <c r="AO7" s="221"/>
    </row>
    <row r="8" spans="1:42" s="206" customFormat="1" ht="18.75">
      <c r="A8" s="773"/>
      <c r="B8" s="250">
        <v>12</v>
      </c>
      <c r="C8" s="295" t="s">
        <v>1639</v>
      </c>
      <c r="D8" s="58" t="s">
        <v>1720</v>
      </c>
      <c r="E8" s="58" t="s">
        <v>1679</v>
      </c>
      <c r="F8" s="197" t="s">
        <v>1723</v>
      </c>
      <c r="H8" s="773"/>
      <c r="I8" s="223">
        <v>12</v>
      </c>
      <c r="J8" s="199" t="s">
        <v>1690</v>
      </c>
      <c r="K8" s="639" t="s">
        <v>1743</v>
      </c>
      <c r="L8" s="302"/>
      <c r="M8" s="259"/>
      <c r="N8" s="221"/>
      <c r="O8" s="197" t="s">
        <v>1675</v>
      </c>
      <c r="P8" s="2" t="s">
        <v>1667</v>
      </c>
      <c r="Q8" s="6" t="s">
        <v>1779</v>
      </c>
      <c r="R8" s="58" t="s">
        <v>1714</v>
      </c>
      <c r="S8" s="223"/>
      <c r="T8" s="329" t="s">
        <v>1783</v>
      </c>
      <c r="U8" s="221"/>
      <c r="V8" s="221"/>
      <c r="W8" s="16" t="s">
        <v>1648</v>
      </c>
      <c r="X8" s="6" t="s">
        <v>1782</v>
      </c>
      <c r="Y8" s="197" t="s">
        <v>1712</v>
      </c>
      <c r="Z8" s="309" t="s">
        <v>1694</v>
      </c>
      <c r="AA8" s="221"/>
      <c r="AB8" s="6" t="s">
        <v>1780</v>
      </c>
      <c r="AC8" s="16" t="s">
        <v>1659</v>
      </c>
      <c r="AD8" s="223"/>
      <c r="AE8" s="329" t="s">
        <v>1768</v>
      </c>
      <c r="AF8" s="16" t="s">
        <v>1764</v>
      </c>
      <c r="AG8" s="249"/>
      <c r="AH8" s="273"/>
      <c r="AI8" s="327" t="s">
        <v>1657</v>
      </c>
      <c r="AJ8" s="258"/>
      <c r="AK8" s="221"/>
      <c r="AL8" s="221"/>
      <c r="AM8" s="221"/>
      <c r="AN8" s="621" t="s">
        <v>1767</v>
      </c>
      <c r="AO8" s="58" t="s">
        <v>1676</v>
      </c>
      <c r="AP8" s="623"/>
    </row>
    <row r="9" spans="1:42" s="206" customFormat="1" ht="18.75">
      <c r="A9" s="773">
        <v>116</v>
      </c>
      <c r="B9" s="311">
        <v>1</v>
      </c>
      <c r="C9" s="295" t="s">
        <v>1665</v>
      </c>
      <c r="D9" s="58" t="s">
        <v>1776</v>
      </c>
      <c r="E9" s="58" t="s">
        <v>1690</v>
      </c>
      <c r="F9" s="197" t="s">
        <v>1712</v>
      </c>
      <c r="H9" s="773">
        <v>116</v>
      </c>
      <c r="I9" s="632">
        <v>1</v>
      </c>
      <c r="J9" s="258"/>
      <c r="K9" s="58" t="s">
        <v>1676</v>
      </c>
      <c r="L9" s="58" t="s">
        <v>1714</v>
      </c>
      <c r="M9" s="629" t="s">
        <v>1781</v>
      </c>
      <c r="N9" s="302"/>
      <c r="O9" s="250"/>
      <c r="P9" s="637" t="s">
        <v>1777</v>
      </c>
      <c r="Q9" s="58" t="s">
        <v>1694</v>
      </c>
      <c r="R9" s="58" t="s">
        <v>1675</v>
      </c>
      <c r="S9" s="303" t="s">
        <v>1723</v>
      </c>
      <c r="T9" s="329" t="s">
        <v>1659</v>
      </c>
      <c r="U9" s="221"/>
      <c r="V9" s="57" t="s">
        <v>1692</v>
      </c>
      <c r="W9" s="221"/>
      <c r="X9" s="6" t="s">
        <v>1780</v>
      </c>
      <c r="Y9" s="327" t="s">
        <v>1689</v>
      </c>
      <c r="Z9" s="308"/>
      <c r="AA9" s="6" t="s">
        <v>1667</v>
      </c>
      <c r="AB9" s="58" t="s">
        <v>1679</v>
      </c>
      <c r="AC9" s="227"/>
      <c r="AD9" s="330" t="s">
        <v>1648</v>
      </c>
      <c r="AE9" s="628" t="s">
        <v>1778</v>
      </c>
      <c r="AF9" s="221"/>
      <c r="AG9" s="633"/>
      <c r="AH9" s="254" t="s">
        <v>1768</v>
      </c>
      <c r="AI9" s="200" t="s">
        <v>1779</v>
      </c>
      <c r="AJ9" s="295" t="s">
        <v>1767</v>
      </c>
      <c r="AK9" s="58" t="s">
        <v>1695</v>
      </c>
      <c r="AL9" s="221"/>
      <c r="AM9" s="221"/>
      <c r="AN9" s="221"/>
      <c r="AO9" s="221"/>
      <c r="AP9" s="250"/>
    </row>
    <row r="10" spans="1:42" s="206" customFormat="1" ht="18.75">
      <c r="A10" s="773"/>
      <c r="B10" s="250">
        <v>2</v>
      </c>
      <c r="C10" s="295" t="s">
        <v>1667</v>
      </c>
      <c r="D10" s="58" t="s">
        <v>1694</v>
      </c>
      <c r="E10" s="58" t="s">
        <v>1695</v>
      </c>
      <c r="F10" s="197" t="s">
        <v>1718</v>
      </c>
      <c r="H10" s="773"/>
      <c r="I10" s="223">
        <v>2</v>
      </c>
      <c r="J10" s="258"/>
      <c r="K10" s="629" t="s">
        <v>1653</v>
      </c>
      <c r="L10" s="16" t="s">
        <v>1659</v>
      </c>
      <c r="M10" s="259"/>
      <c r="N10" s="58" t="s">
        <v>1727</v>
      </c>
      <c r="O10" s="249"/>
      <c r="P10" s="2" t="s">
        <v>1650</v>
      </c>
      <c r="Q10" s="11" t="s">
        <v>1647</v>
      </c>
      <c r="R10" s="58" t="s">
        <v>1692</v>
      </c>
      <c r="S10" s="303" t="s">
        <v>1719</v>
      </c>
      <c r="T10" s="329" t="s">
        <v>1764</v>
      </c>
      <c r="U10" s="221"/>
      <c r="V10" s="6" t="s">
        <v>1774</v>
      </c>
      <c r="X10" s="58" t="s">
        <v>1717</v>
      </c>
      <c r="Y10" s="197" t="s">
        <v>1721</v>
      </c>
      <c r="Z10" s="254" t="s">
        <v>1768</v>
      </c>
      <c r="AA10" s="221"/>
      <c r="AB10" s="82" t="s">
        <v>1777</v>
      </c>
      <c r="AC10" s="58" t="s">
        <v>1712</v>
      </c>
      <c r="AD10" s="299"/>
      <c r="AE10" s="258"/>
      <c r="AF10" s="58" t="s">
        <v>1776</v>
      </c>
      <c r="AG10" s="250"/>
      <c r="AH10" s="254" t="s">
        <v>1648</v>
      </c>
      <c r="AI10" s="249"/>
      <c r="AJ10" s="622"/>
      <c r="AK10" s="621" t="s">
        <v>1731</v>
      </c>
      <c r="AL10" s="221"/>
      <c r="AM10" s="58" t="s">
        <v>1678</v>
      </c>
      <c r="AN10" s="221"/>
      <c r="AO10" s="221"/>
      <c r="AP10" s="249"/>
    </row>
    <row r="11" spans="1:42" s="206" customFormat="1" ht="18.75">
      <c r="A11" s="773"/>
      <c r="B11" s="250">
        <v>3</v>
      </c>
      <c r="C11" s="199" t="s">
        <v>1692</v>
      </c>
      <c r="D11" s="58" t="s">
        <v>1719</v>
      </c>
      <c r="E11" s="58" t="s">
        <v>1721</v>
      </c>
      <c r="F11" s="197" t="s">
        <v>1678</v>
      </c>
      <c r="H11" s="773"/>
      <c r="I11" s="223">
        <v>3</v>
      </c>
      <c r="J11" s="258"/>
      <c r="K11" s="221"/>
      <c r="L11" s="221"/>
      <c r="M11" s="629" t="s">
        <v>1777</v>
      </c>
      <c r="N11" s="58" t="s">
        <v>1776</v>
      </c>
      <c r="O11" s="197" t="s">
        <v>1695</v>
      </c>
      <c r="P11" s="2" t="s">
        <v>1772</v>
      </c>
      <c r="Q11" s="58" t="s">
        <v>1717</v>
      </c>
      <c r="R11" s="58" t="s">
        <v>1727</v>
      </c>
      <c r="S11" s="299"/>
      <c r="T11" s="307"/>
      <c r="U11" s="221"/>
      <c r="V11" s="58" t="s">
        <v>1677</v>
      </c>
      <c r="W11" s="58" t="s">
        <v>1718</v>
      </c>
      <c r="X11" s="6" t="s">
        <v>1653</v>
      </c>
      <c r="Y11" s="338"/>
      <c r="Z11" s="2" t="s">
        <v>1652</v>
      </c>
      <c r="AA11" s="221"/>
      <c r="AB11" s="302"/>
      <c r="AC11" s="6" t="s">
        <v>1771</v>
      </c>
      <c r="AD11" s="169" t="s">
        <v>1774</v>
      </c>
      <c r="AE11" s="295" t="s">
        <v>1650</v>
      </c>
      <c r="AF11" s="221"/>
      <c r="AG11" s="249"/>
      <c r="AH11" s="308"/>
      <c r="AI11" s="328" t="s">
        <v>1647</v>
      </c>
      <c r="AJ11" s="258"/>
      <c r="AK11" s="221"/>
      <c r="AL11" s="621" t="s">
        <v>1775</v>
      </c>
      <c r="AM11" s="221"/>
      <c r="AN11" s="221"/>
      <c r="AO11" s="221"/>
      <c r="AP11" s="249"/>
    </row>
    <row r="12" spans="1:42" s="206" customFormat="1" ht="20.100000000000001" customHeight="1">
      <c r="A12" s="773"/>
      <c r="B12" s="250">
        <v>4</v>
      </c>
      <c r="C12" s="199" t="s">
        <v>1717</v>
      </c>
      <c r="D12" s="58" t="s">
        <v>1677</v>
      </c>
      <c r="E12" s="58" t="s">
        <v>1727</v>
      </c>
      <c r="F12" s="250"/>
      <c r="G12" s="285"/>
      <c r="H12" s="773"/>
      <c r="I12" s="223">
        <v>4</v>
      </c>
      <c r="J12" s="295" t="s">
        <v>1771</v>
      </c>
      <c r="K12" s="58" t="s">
        <v>1718</v>
      </c>
      <c r="L12" s="221"/>
      <c r="M12" s="221"/>
      <c r="N12" s="221"/>
      <c r="O12" s="328" t="s">
        <v>1647</v>
      </c>
      <c r="P12" s="254" t="s">
        <v>1656</v>
      </c>
      <c r="Q12" s="58" t="s">
        <v>1678</v>
      </c>
      <c r="R12" s="259"/>
      <c r="S12" s="299"/>
      <c r="T12" s="258"/>
      <c r="U12" s="221"/>
      <c r="V12" s="6" t="s">
        <v>1652</v>
      </c>
      <c r="W12" s="221"/>
      <c r="X12" s="227"/>
      <c r="Y12" s="200" t="s">
        <v>1772</v>
      </c>
      <c r="Z12" s="273"/>
      <c r="AA12" s="6" t="s">
        <v>1769</v>
      </c>
      <c r="AB12" s="221"/>
      <c r="AC12" s="221"/>
      <c r="AD12" s="303" t="s">
        <v>1719</v>
      </c>
      <c r="AE12" s="258"/>
      <c r="AF12" s="629" t="s">
        <v>1774</v>
      </c>
      <c r="AG12" s="327" t="s">
        <v>1648</v>
      </c>
      <c r="AH12" s="2" t="s">
        <v>1650</v>
      </c>
      <c r="AI12" s="200" t="s">
        <v>1653</v>
      </c>
      <c r="AJ12" s="199" t="s">
        <v>1721</v>
      </c>
      <c r="AK12" s="221"/>
      <c r="AL12" s="221"/>
      <c r="AM12" s="221"/>
      <c r="AN12" s="302"/>
      <c r="AO12" s="302"/>
      <c r="AP12" s="304"/>
    </row>
    <row r="13" spans="1:42" s="206" customFormat="1" ht="20.100000000000001" customHeight="1">
      <c r="A13" s="773"/>
      <c r="B13" s="250">
        <v>5</v>
      </c>
      <c r="C13" s="199" t="s">
        <v>1705</v>
      </c>
      <c r="D13" s="58" t="s">
        <v>1693</v>
      </c>
      <c r="E13" s="58" t="s">
        <v>1697</v>
      </c>
      <c r="F13" s="197" t="s">
        <v>1707</v>
      </c>
      <c r="G13" s="285"/>
      <c r="H13" s="773"/>
      <c r="I13" s="223">
        <v>5</v>
      </c>
      <c r="J13" s="630"/>
      <c r="K13" s="629" t="s">
        <v>1644</v>
      </c>
      <c r="L13" s="629" t="s">
        <v>1769</v>
      </c>
      <c r="M13" s="16" t="s">
        <v>1656</v>
      </c>
      <c r="N13" s="300"/>
      <c r="O13" s="249"/>
      <c r="P13" s="254" t="s">
        <v>1765</v>
      </c>
      <c r="Q13" s="16" t="s">
        <v>1773</v>
      </c>
      <c r="R13" s="58" t="s">
        <v>1677</v>
      </c>
      <c r="S13" s="303" t="s">
        <v>1715</v>
      </c>
      <c r="T13" s="329" t="s">
        <v>1825</v>
      </c>
      <c r="U13" s="16" t="s">
        <v>1826</v>
      </c>
      <c r="V13" s="58" t="s">
        <v>1711</v>
      </c>
      <c r="W13" s="6" t="s">
        <v>1766</v>
      </c>
      <c r="X13" s="58" t="s">
        <v>1701</v>
      </c>
      <c r="Y13" s="197" t="s">
        <v>1703</v>
      </c>
      <c r="Z13" s="309" t="s">
        <v>1698</v>
      </c>
      <c r="AA13" s="302"/>
      <c r="AB13" s="6" t="s">
        <v>1772</v>
      </c>
      <c r="AC13" s="6" t="s">
        <v>1652</v>
      </c>
      <c r="AD13" s="299"/>
      <c r="AE13" s="630"/>
      <c r="AF13" s="58" t="s">
        <v>1716</v>
      </c>
      <c r="AG13" s="249"/>
      <c r="AH13" s="2" t="s">
        <v>1771</v>
      </c>
      <c r="AI13" s="327" t="s">
        <v>1659</v>
      </c>
      <c r="AJ13" s="297"/>
      <c r="AK13" s="259"/>
      <c r="AL13" s="221"/>
      <c r="AM13" s="11" t="s">
        <v>1770</v>
      </c>
      <c r="AN13" s="221"/>
      <c r="AO13" s="221"/>
      <c r="AP13" s="249"/>
    </row>
    <row r="14" spans="1:42" s="206" customFormat="1" ht="20.100000000000001" customHeight="1">
      <c r="A14" s="773"/>
      <c r="B14" s="250">
        <v>6</v>
      </c>
      <c r="C14" s="199" t="s">
        <v>1711</v>
      </c>
      <c r="D14" s="58" t="s">
        <v>1701</v>
      </c>
      <c r="E14" s="58" t="s">
        <v>1703</v>
      </c>
      <c r="F14" s="250"/>
      <c r="G14" s="285"/>
      <c r="H14" s="773"/>
      <c r="I14" s="223">
        <v>6</v>
      </c>
      <c r="J14" s="199" t="s">
        <v>1697</v>
      </c>
      <c r="K14" s="300"/>
      <c r="L14" s="259"/>
      <c r="M14" s="58" t="s">
        <v>1698</v>
      </c>
      <c r="N14" s="16" t="s">
        <v>1648</v>
      </c>
      <c r="O14" s="249"/>
      <c r="P14" s="254" t="s">
        <v>1741</v>
      </c>
      <c r="Q14" s="16" t="s">
        <v>1657</v>
      </c>
      <c r="R14" s="58" t="s">
        <v>1693</v>
      </c>
      <c r="S14" s="298"/>
      <c r="T14" s="329" t="s">
        <v>1656</v>
      </c>
      <c r="U14" s="221"/>
      <c r="V14" s="221"/>
      <c r="W14" s="58" t="s">
        <v>1707</v>
      </c>
      <c r="X14" s="6" t="s">
        <v>1769</v>
      </c>
      <c r="Y14" s="327" t="s">
        <v>1768</v>
      </c>
      <c r="Z14" s="334"/>
      <c r="AA14" s="58" t="s">
        <v>1705</v>
      </c>
      <c r="AB14" s="221"/>
      <c r="AC14" s="58" t="s">
        <v>1716</v>
      </c>
      <c r="AD14" s="169" t="s">
        <v>1644</v>
      </c>
      <c r="AE14" s="329" t="s">
        <v>1659</v>
      </c>
      <c r="AF14" s="221"/>
      <c r="AG14" s="249"/>
      <c r="AH14" s="2" t="s">
        <v>1766</v>
      </c>
      <c r="AI14" s="327" t="s">
        <v>1764</v>
      </c>
      <c r="AJ14" s="258"/>
      <c r="AK14" s="259"/>
      <c r="AL14" s="221"/>
      <c r="AM14" s="221"/>
      <c r="AN14" s="621" t="s">
        <v>1767</v>
      </c>
      <c r="AO14" s="221"/>
      <c r="AP14" s="197" t="s">
        <v>1715</v>
      </c>
    </row>
    <row r="15" spans="1:42" s="286" customFormat="1" ht="20.100000000000001" customHeight="1" thickBot="1">
      <c r="A15" s="774"/>
      <c r="B15" s="293">
        <v>7</v>
      </c>
      <c r="C15" s="201" t="s">
        <v>1716</v>
      </c>
      <c r="D15" s="202" t="s">
        <v>1698</v>
      </c>
      <c r="E15" s="202" t="s">
        <v>1715</v>
      </c>
      <c r="F15" s="243"/>
      <c r="H15" s="774"/>
      <c r="I15" s="635">
        <v>7</v>
      </c>
      <c r="J15" s="289" t="s">
        <v>1766</v>
      </c>
      <c r="K15" s="211"/>
      <c r="L15" s="211"/>
      <c r="M15" s="211"/>
      <c r="N15" s="211"/>
      <c r="O15" s="193" t="s">
        <v>1765</v>
      </c>
      <c r="P15" s="75" t="s">
        <v>1659</v>
      </c>
      <c r="Q15" s="76" t="s">
        <v>1648</v>
      </c>
      <c r="R15" s="202" t="s">
        <v>1707</v>
      </c>
      <c r="S15" s="290" t="s">
        <v>1703</v>
      </c>
      <c r="T15" s="331" t="s">
        <v>1657</v>
      </c>
      <c r="U15" s="211"/>
      <c r="V15" s="211"/>
      <c r="W15" s="202" t="s">
        <v>1705</v>
      </c>
      <c r="X15" s="202" t="s">
        <v>1693</v>
      </c>
      <c r="Y15" s="332" t="s">
        <v>1697</v>
      </c>
      <c r="Z15" s="75" t="s">
        <v>1764</v>
      </c>
      <c r="AA15" s="292"/>
      <c r="AB15" s="291"/>
      <c r="AC15" s="211"/>
      <c r="AD15" s="290" t="s">
        <v>1711</v>
      </c>
      <c r="AE15" s="627"/>
      <c r="AF15" s="76" t="s">
        <v>1656</v>
      </c>
      <c r="AG15" s="193" t="s">
        <v>1741</v>
      </c>
      <c r="AH15" s="246" t="s">
        <v>1644</v>
      </c>
      <c r="AI15" s="243"/>
      <c r="AJ15" s="288"/>
      <c r="AK15" s="211"/>
      <c r="AL15" s="202" t="s">
        <v>1701</v>
      </c>
      <c r="AM15" s="211"/>
      <c r="AN15" s="211"/>
      <c r="AO15" s="213" t="s">
        <v>1763</v>
      </c>
      <c r="AP15" s="287"/>
    </row>
    <row r="16" spans="1:42" ht="19.5" customHeight="1">
      <c r="A16" s="242"/>
      <c r="B16" s="242"/>
      <c r="C16" s="242"/>
      <c r="D16" s="242"/>
      <c r="E16" s="242"/>
      <c r="F16" s="242"/>
      <c r="G16" s="242"/>
      <c r="H16" s="242"/>
      <c r="I16" s="242"/>
      <c r="J16" s="285"/>
      <c r="K16" s="285"/>
      <c r="L16" s="285"/>
      <c r="M16" s="285"/>
      <c r="N16" s="285"/>
      <c r="O16" s="285"/>
      <c r="R16" s="242"/>
      <c r="S16" s="242"/>
      <c r="T16" s="242"/>
      <c r="U16" s="242"/>
      <c r="W16" s="242"/>
      <c r="X16" s="242"/>
      <c r="Y16" s="242"/>
      <c r="Z16" s="242"/>
      <c r="AA16" s="242"/>
      <c r="AB16" s="242"/>
      <c r="AC16" s="242"/>
      <c r="AE16" s="242"/>
      <c r="AF16" s="242"/>
      <c r="AG16" s="242"/>
      <c r="AH16" s="242"/>
      <c r="AI16" s="242"/>
      <c r="AJ16" s="242"/>
      <c r="AK16" s="242"/>
      <c r="AL16" s="242"/>
      <c r="AM16" s="242"/>
    </row>
    <row r="17" spans="1:39" ht="20.100000000000001" customHeight="1" thickBot="1">
      <c r="A17" s="242"/>
      <c r="B17" s="242"/>
      <c r="C17" s="242"/>
      <c r="D17" s="242"/>
      <c r="E17" s="242"/>
      <c r="F17" s="242"/>
      <c r="G17" s="242"/>
      <c r="H17" s="242"/>
      <c r="I17" s="242"/>
      <c r="J17" s="285"/>
      <c r="K17" s="285"/>
      <c r="L17" s="285"/>
      <c r="M17" s="285"/>
      <c r="N17" s="285"/>
      <c r="O17" s="285"/>
      <c r="P17" s="242"/>
      <c r="Q17" s="242"/>
      <c r="R17" s="242"/>
      <c r="S17" s="242"/>
      <c r="T17" s="242"/>
      <c r="U17" s="242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I17" s="242"/>
      <c r="AJ17" s="242"/>
      <c r="AK17" s="242"/>
      <c r="AL17" s="242"/>
      <c r="AM17" s="242"/>
    </row>
    <row r="18" spans="1:39" ht="20.100000000000001" customHeight="1" thickBot="1">
      <c r="A18" s="242"/>
      <c r="B18" s="242"/>
      <c r="E18" s="285"/>
      <c r="F18" s="242"/>
      <c r="G18" s="242"/>
      <c r="H18" s="242"/>
      <c r="I18" s="242"/>
      <c r="J18" s="205"/>
      <c r="L18" s="205"/>
      <c r="O18" s="775" t="s">
        <v>1334</v>
      </c>
      <c r="P18" s="782" t="s">
        <v>1335</v>
      </c>
      <c r="Q18" s="783"/>
      <c r="R18" s="783"/>
      <c r="S18" s="784"/>
      <c r="AA18" s="242"/>
      <c r="AB18" s="242"/>
      <c r="AD18" s="242"/>
      <c r="AE18" s="242"/>
      <c r="AF18" s="242"/>
      <c r="AG18" s="242"/>
      <c r="AJ18" s="206"/>
      <c r="AK18" s="206"/>
    </row>
    <row r="19" spans="1:39" ht="20.100000000000001" customHeight="1" thickBot="1">
      <c r="A19" s="242"/>
      <c r="D19" s="284" t="s">
        <v>13</v>
      </c>
      <c r="E19" s="283" t="s">
        <v>1333</v>
      </c>
      <c r="H19" s="242"/>
      <c r="I19" s="242"/>
      <c r="J19" s="205"/>
      <c r="K19" s="205"/>
      <c r="L19" s="205"/>
      <c r="O19" s="776"/>
      <c r="P19" s="782" t="s">
        <v>1333</v>
      </c>
      <c r="Q19" s="783"/>
      <c r="R19" s="783"/>
      <c r="S19" s="784"/>
      <c r="AG19" s="206"/>
      <c r="AI19" s="206"/>
      <c r="AJ19" s="206"/>
      <c r="AK19" s="206"/>
    </row>
    <row r="20" spans="1:39" ht="20.100000000000001" customHeight="1" thickBot="1">
      <c r="A20" s="242"/>
      <c r="D20" s="770" t="s">
        <v>137</v>
      </c>
      <c r="E20" s="157" t="s">
        <v>1554</v>
      </c>
      <c r="H20" s="242"/>
      <c r="I20" s="242"/>
      <c r="J20" s="205"/>
      <c r="K20" s="205"/>
      <c r="L20" s="205"/>
      <c r="O20" s="282" t="s">
        <v>1337</v>
      </c>
      <c r="P20" s="281" t="s">
        <v>1327</v>
      </c>
      <c r="Q20" s="280" t="s">
        <v>1328</v>
      </c>
      <c r="R20" s="280" t="s">
        <v>1329</v>
      </c>
      <c r="S20" s="279" t="s">
        <v>1565</v>
      </c>
      <c r="AJ20" s="206"/>
      <c r="AK20" s="206"/>
    </row>
    <row r="21" spans="1:39" ht="20.100000000000001" customHeight="1" thickBot="1">
      <c r="A21" s="242"/>
      <c r="D21" s="771"/>
      <c r="E21" s="157" t="s">
        <v>1336</v>
      </c>
      <c r="H21" s="242"/>
      <c r="I21" s="242"/>
      <c r="J21" s="205"/>
      <c r="K21" s="205"/>
      <c r="L21" s="205"/>
      <c r="M21" s="205"/>
      <c r="O21" s="278" t="s">
        <v>1762</v>
      </c>
      <c r="P21" s="277" t="s">
        <v>1580</v>
      </c>
      <c r="Q21" s="276" t="s">
        <v>1577</v>
      </c>
      <c r="R21" s="276" t="s">
        <v>1576</v>
      </c>
      <c r="S21" s="275" t="s">
        <v>1574</v>
      </c>
      <c r="AJ21" s="206"/>
      <c r="AK21" s="206"/>
    </row>
    <row r="22" spans="1:39" ht="20.100000000000001" customHeight="1" thickBot="1">
      <c r="A22" s="242"/>
      <c r="D22" s="771"/>
      <c r="E22" s="157" t="s">
        <v>1339</v>
      </c>
      <c r="H22" s="242"/>
      <c r="I22" s="242"/>
      <c r="K22" s="205"/>
      <c r="L22" s="205"/>
      <c r="O22" s="274" t="s">
        <v>1761</v>
      </c>
      <c r="P22" s="273" t="s">
        <v>1578</v>
      </c>
      <c r="Q22" s="259" t="s">
        <v>1575</v>
      </c>
      <c r="R22" s="259" t="s">
        <v>1579</v>
      </c>
      <c r="S22" s="250" t="s">
        <v>1581</v>
      </c>
    </row>
    <row r="23" spans="1:39" ht="20.100000000000001" customHeight="1" thickBot="1">
      <c r="A23" s="242"/>
      <c r="D23" s="771"/>
      <c r="E23" s="157" t="s">
        <v>1338</v>
      </c>
      <c r="H23" s="242"/>
      <c r="I23" s="242"/>
      <c r="K23" s="205"/>
      <c r="M23" s="205"/>
      <c r="O23" s="274" t="s">
        <v>1760</v>
      </c>
      <c r="P23" s="273" t="s">
        <v>1580</v>
      </c>
      <c r="Q23" s="259" t="s">
        <v>1577</v>
      </c>
      <c r="R23" s="259" t="s">
        <v>1576</v>
      </c>
      <c r="S23" s="250" t="s">
        <v>1574</v>
      </c>
    </row>
    <row r="24" spans="1:39" ht="20.100000000000001" customHeight="1" thickBot="1">
      <c r="A24" s="242"/>
      <c r="D24" s="772"/>
      <c r="E24" s="157" t="s">
        <v>1555</v>
      </c>
      <c r="H24" s="242"/>
      <c r="I24" s="242"/>
      <c r="K24" s="205"/>
      <c r="O24" s="274" t="s">
        <v>1759</v>
      </c>
      <c r="P24" s="273" t="s">
        <v>1578</v>
      </c>
      <c r="Q24" s="259" t="s">
        <v>1575</v>
      </c>
      <c r="R24" s="259" t="s">
        <v>1579</v>
      </c>
      <c r="S24" s="250" t="s">
        <v>1581</v>
      </c>
    </row>
    <row r="25" spans="1:39" ht="20.100000000000001" customHeight="1">
      <c r="A25" s="242"/>
      <c r="C25" s="242"/>
      <c r="H25" s="242"/>
      <c r="I25" s="242"/>
      <c r="O25" s="274" t="s">
        <v>1758</v>
      </c>
      <c r="P25" s="273" t="s">
        <v>1580</v>
      </c>
      <c r="Q25" s="259" t="s">
        <v>1577</v>
      </c>
      <c r="R25" s="259" t="s">
        <v>1576</v>
      </c>
      <c r="S25" s="272"/>
    </row>
    <row r="26" spans="1:39" ht="20.100000000000001" customHeight="1">
      <c r="A26" s="242"/>
      <c r="H26" s="242"/>
      <c r="I26" s="242"/>
      <c r="O26" s="274" t="s">
        <v>1757</v>
      </c>
      <c r="P26" s="273" t="s">
        <v>1574</v>
      </c>
      <c r="Q26" s="259" t="s">
        <v>1578</v>
      </c>
      <c r="R26" s="259" t="s">
        <v>1575</v>
      </c>
      <c r="S26" s="250" t="s">
        <v>1579</v>
      </c>
    </row>
    <row r="27" spans="1:39" ht="20.100000000000001" customHeight="1">
      <c r="A27" s="242"/>
      <c r="H27" s="242"/>
      <c r="I27" s="242"/>
      <c r="O27" s="274" t="s">
        <v>1756</v>
      </c>
      <c r="P27" s="273" t="s">
        <v>1581</v>
      </c>
      <c r="Q27" s="259" t="s">
        <v>1580</v>
      </c>
      <c r="R27" s="259" t="s">
        <v>1577</v>
      </c>
      <c r="S27" s="250" t="s">
        <v>1576</v>
      </c>
    </row>
    <row r="28" spans="1:39" ht="20.100000000000001" customHeight="1">
      <c r="A28" s="242"/>
      <c r="H28" s="242"/>
      <c r="I28" s="242"/>
      <c r="O28" s="274" t="s">
        <v>1755</v>
      </c>
      <c r="P28" s="273" t="s">
        <v>1574</v>
      </c>
      <c r="Q28" s="259" t="s">
        <v>1578</v>
      </c>
      <c r="R28" s="259" t="s">
        <v>1575</v>
      </c>
      <c r="S28" s="250"/>
    </row>
    <row r="29" spans="1:39" ht="20.100000000000001" customHeight="1">
      <c r="A29" s="242"/>
      <c r="B29" s="242"/>
      <c r="H29" s="242"/>
      <c r="I29" s="242"/>
      <c r="O29" s="274" t="s">
        <v>1754</v>
      </c>
      <c r="P29" s="273" t="s">
        <v>1579</v>
      </c>
      <c r="Q29" s="259" t="s">
        <v>1581</v>
      </c>
      <c r="R29" s="259"/>
      <c r="S29" s="272"/>
    </row>
    <row r="30" spans="1:39" ht="20.100000000000001" customHeight="1">
      <c r="A30" s="242"/>
      <c r="B30" s="242"/>
      <c r="H30" s="242"/>
      <c r="I30" s="242"/>
      <c r="O30" s="274" t="s">
        <v>1753</v>
      </c>
      <c r="P30" s="273" t="s">
        <v>1580</v>
      </c>
      <c r="Q30" s="259" t="s">
        <v>1577</v>
      </c>
      <c r="R30" s="259" t="s">
        <v>1576</v>
      </c>
      <c r="S30" s="250" t="s">
        <v>1574</v>
      </c>
    </row>
    <row r="31" spans="1:39" ht="20.100000000000001" customHeight="1">
      <c r="A31" s="242"/>
      <c r="B31" s="242"/>
      <c r="H31" s="242"/>
      <c r="I31" s="242"/>
      <c r="O31" s="274" t="s">
        <v>1752</v>
      </c>
      <c r="P31" s="273" t="s">
        <v>1578</v>
      </c>
      <c r="Q31" s="259" t="s">
        <v>1575</v>
      </c>
      <c r="R31" s="259" t="s">
        <v>1579</v>
      </c>
      <c r="S31" s="272"/>
    </row>
    <row r="32" spans="1:39" ht="20.100000000000001" customHeight="1" thickBot="1">
      <c r="A32" s="242"/>
      <c r="B32" s="242"/>
      <c r="H32" s="242"/>
      <c r="I32" s="242"/>
      <c r="O32" s="271" t="s">
        <v>1751</v>
      </c>
      <c r="P32" s="270" t="s">
        <v>1581</v>
      </c>
      <c r="Q32" s="269" t="s">
        <v>1580</v>
      </c>
      <c r="R32" s="269" t="s">
        <v>1577</v>
      </c>
      <c r="S32" s="247" t="s">
        <v>1576</v>
      </c>
      <c r="AI32" s="242"/>
      <c r="AJ32" s="242"/>
      <c r="AK32" s="242"/>
      <c r="AL32" s="242"/>
      <c r="AM32" s="242"/>
    </row>
    <row r="33" spans="1:39" ht="20.100000000000001" customHeight="1">
      <c r="A33" s="242"/>
      <c r="B33" s="242"/>
      <c r="C33" s="242"/>
      <c r="D33" s="242"/>
      <c r="E33" s="242"/>
      <c r="H33" s="242"/>
      <c r="I33" s="242"/>
      <c r="P33" s="206"/>
      <c r="Q33" s="206"/>
      <c r="R33" s="206"/>
      <c r="S33" s="206"/>
      <c r="T33" s="206"/>
      <c r="U33" s="206"/>
      <c r="V33" s="206"/>
      <c r="W33" s="206"/>
      <c r="X33" s="206"/>
      <c r="AI33" s="242"/>
      <c r="AJ33" s="242"/>
      <c r="AK33" s="242"/>
      <c r="AL33" s="242"/>
      <c r="AM33" s="242"/>
    </row>
    <row r="34" spans="1:39" ht="20.100000000000001" customHeight="1">
      <c r="P34" s="206"/>
      <c r="Q34" s="206"/>
      <c r="R34" s="206"/>
      <c r="S34" s="206"/>
      <c r="T34" s="206"/>
      <c r="U34" s="206"/>
      <c r="V34" s="206"/>
      <c r="W34" s="206"/>
      <c r="X34" s="206"/>
      <c r="AI34" s="242"/>
      <c r="AJ34" s="242"/>
      <c r="AK34" s="242"/>
      <c r="AL34" s="242"/>
      <c r="AM34" s="242"/>
    </row>
    <row r="35" spans="1:39" ht="20.100000000000001" customHeight="1">
      <c r="AI35" s="242"/>
      <c r="AJ35" s="242"/>
      <c r="AK35" s="242"/>
      <c r="AL35" s="242"/>
      <c r="AM35" s="242"/>
    </row>
  </sheetData>
  <mergeCells count="19">
    <mergeCell ref="AJ2:AP2"/>
    <mergeCell ref="A1:AP1"/>
    <mergeCell ref="AE2:AG2"/>
    <mergeCell ref="AH2:AI2"/>
    <mergeCell ref="A4:A8"/>
    <mergeCell ref="H4:H8"/>
    <mergeCell ref="A2:F2"/>
    <mergeCell ref="H2:I2"/>
    <mergeCell ref="J2:O2"/>
    <mergeCell ref="P2:S2"/>
    <mergeCell ref="Z2:AD2"/>
    <mergeCell ref="D20:D24"/>
    <mergeCell ref="A9:A15"/>
    <mergeCell ref="H9:H15"/>
    <mergeCell ref="O18:O19"/>
    <mergeCell ref="T2:Y2"/>
    <mergeCell ref="T3:U3"/>
    <mergeCell ref="P18:S18"/>
    <mergeCell ref="P19:S19"/>
  </mergeCells>
  <phoneticPr fontId="5" type="noConversion"/>
  <conditionalFormatting sqref="K11">
    <cfRule type="duplicateValues" dxfId="278" priority="90"/>
    <cfRule type="duplicateValues" dxfId="277" priority="91"/>
  </conditionalFormatting>
  <conditionalFormatting sqref="N12">
    <cfRule type="duplicateValues" dxfId="276" priority="88"/>
    <cfRule type="duplicateValues" dxfId="275" priority="89"/>
  </conditionalFormatting>
  <conditionalFormatting sqref="V8">
    <cfRule type="duplicateValues" dxfId="274" priority="78"/>
    <cfRule type="duplicateValues" dxfId="273" priority="79"/>
  </conditionalFormatting>
  <conditionalFormatting sqref="AD13">
    <cfRule type="duplicateValues" dxfId="272" priority="80"/>
    <cfRule type="duplicateValues" dxfId="271" priority="81"/>
  </conditionalFormatting>
  <conditionalFormatting sqref="AG7:AG8 AG4 AF11:AG11 AF9 AF14:AG14 AG13">
    <cfRule type="duplicateValues" dxfId="270" priority="96"/>
    <cfRule type="duplicateValues" dxfId="269" priority="97"/>
  </conditionalFormatting>
  <conditionalFormatting sqref="AG11">
    <cfRule type="duplicateValues" dxfId="268" priority="92"/>
    <cfRule type="duplicateValues" dxfId="267" priority="93"/>
  </conditionalFormatting>
  <conditionalFormatting sqref="AI10">
    <cfRule type="duplicateValues" dxfId="266" priority="82"/>
    <cfRule type="duplicateValues" dxfId="265" priority="83"/>
  </conditionalFormatting>
  <conditionalFormatting sqref="AJ14">
    <cfRule type="duplicateValues" dxfId="264" priority="86"/>
    <cfRule type="duplicateValues" dxfId="263" priority="87"/>
  </conditionalFormatting>
  <conditionalFormatting sqref="AK6">
    <cfRule type="duplicateValues" dxfId="262" priority="98"/>
    <cfRule type="duplicateValues" dxfId="261" priority="99"/>
  </conditionalFormatting>
  <conditionalFormatting sqref="AM15">
    <cfRule type="duplicateValues" dxfId="260" priority="84"/>
    <cfRule type="duplicateValues" dxfId="259" priority="85"/>
  </conditionalFormatting>
  <conditionalFormatting sqref="C4">
    <cfRule type="duplicateValues" dxfId="258" priority="77"/>
  </conditionalFormatting>
  <conditionalFormatting sqref="D9">
    <cfRule type="duplicateValues" dxfId="257" priority="76"/>
  </conditionalFormatting>
  <conditionalFormatting sqref="F4">
    <cfRule type="duplicateValues" dxfId="256" priority="73"/>
  </conditionalFormatting>
  <conditionalFormatting sqref="E4">
    <cfRule type="duplicateValues" dxfId="255" priority="75"/>
  </conditionalFormatting>
  <conditionalFormatting sqref="D4">
    <cfRule type="duplicateValues" dxfId="254" priority="74"/>
  </conditionalFormatting>
  <conditionalFormatting sqref="D5:F5">
    <cfRule type="duplicateValues" dxfId="253" priority="72"/>
  </conditionalFormatting>
  <conditionalFormatting sqref="E6:F6">
    <cfRule type="duplicateValues" dxfId="252" priority="71"/>
  </conditionalFormatting>
  <conditionalFormatting sqref="D7:F7">
    <cfRule type="duplicateValues" dxfId="251" priority="70"/>
  </conditionalFormatting>
  <conditionalFormatting sqref="D8:F8">
    <cfRule type="duplicateValues" dxfId="250" priority="69"/>
  </conditionalFormatting>
  <conditionalFormatting sqref="E9:F9">
    <cfRule type="duplicateValues" dxfId="249" priority="68"/>
  </conditionalFormatting>
  <conditionalFormatting sqref="D10:F10">
    <cfRule type="duplicateValues" dxfId="248" priority="67"/>
  </conditionalFormatting>
  <conditionalFormatting sqref="C11:F11">
    <cfRule type="duplicateValues" dxfId="247" priority="66"/>
  </conditionalFormatting>
  <conditionalFormatting sqref="C12:E12">
    <cfRule type="duplicateValues" dxfId="246" priority="65"/>
  </conditionalFormatting>
  <conditionalFormatting sqref="E13 C13">
    <cfRule type="duplicateValues" dxfId="245" priority="64"/>
  </conditionalFormatting>
  <conditionalFormatting sqref="F13 D13">
    <cfRule type="duplicateValues" dxfId="244" priority="63"/>
  </conditionalFormatting>
  <conditionalFormatting sqref="D14">
    <cfRule type="duplicateValues" dxfId="243" priority="61"/>
  </conditionalFormatting>
  <conditionalFormatting sqref="C14">
    <cfRule type="duplicateValues" dxfId="242" priority="62"/>
  </conditionalFormatting>
  <conditionalFormatting sqref="E14">
    <cfRule type="duplicateValues" dxfId="241" priority="60"/>
  </conditionalFormatting>
  <conditionalFormatting sqref="C15:E15">
    <cfRule type="duplicateValues" dxfId="240" priority="59"/>
  </conditionalFormatting>
  <conditionalFormatting sqref="J4">
    <cfRule type="duplicateValues" dxfId="239" priority="58"/>
  </conditionalFormatting>
  <conditionalFormatting sqref="J5">
    <cfRule type="duplicateValues" dxfId="238" priority="57"/>
  </conditionalFormatting>
  <conditionalFormatting sqref="M5">
    <cfRule type="duplicateValues" dxfId="237" priority="56"/>
  </conditionalFormatting>
  <conditionalFormatting sqref="M7:N7">
    <cfRule type="duplicateValues" dxfId="236" priority="55"/>
  </conditionalFormatting>
  <conditionalFormatting sqref="J8 O8">
    <cfRule type="duplicateValues" dxfId="235" priority="54"/>
  </conditionalFormatting>
  <conditionalFormatting sqref="K9">
    <cfRule type="duplicateValues" dxfId="234" priority="53"/>
  </conditionalFormatting>
  <conditionalFormatting sqref="N4 L4">
    <cfRule type="duplicateValues" dxfId="233" priority="100"/>
  </conditionalFormatting>
  <conditionalFormatting sqref="N10">
    <cfRule type="duplicateValues" dxfId="232" priority="52"/>
  </conditionalFormatting>
  <conditionalFormatting sqref="O11">
    <cfRule type="duplicateValues" dxfId="231" priority="51"/>
  </conditionalFormatting>
  <conditionalFormatting sqref="K12">
    <cfRule type="duplicateValues" dxfId="230" priority="50"/>
  </conditionalFormatting>
  <conditionalFormatting sqref="M14 J14">
    <cfRule type="duplicateValues" dxfId="229" priority="101"/>
  </conditionalFormatting>
  <conditionalFormatting sqref="P6">
    <cfRule type="duplicateValues" dxfId="228" priority="49"/>
  </conditionalFormatting>
  <conditionalFormatting sqref="S4">
    <cfRule type="duplicateValues" dxfId="227" priority="48"/>
  </conditionalFormatting>
  <conditionalFormatting sqref="S5">
    <cfRule type="duplicateValues" dxfId="226" priority="47"/>
  </conditionalFormatting>
  <conditionalFormatting sqref="R6:S6">
    <cfRule type="duplicateValues" dxfId="225" priority="46"/>
  </conditionalFormatting>
  <conditionalFormatting sqref="R8 S7">
    <cfRule type="duplicateValues" dxfId="224" priority="45"/>
  </conditionalFormatting>
  <conditionalFormatting sqref="Q9:S9">
    <cfRule type="duplicateValues" dxfId="223" priority="44"/>
  </conditionalFormatting>
  <conditionalFormatting sqref="R10:S10">
    <cfRule type="duplicateValues" dxfId="222" priority="43"/>
  </conditionalFormatting>
  <conditionalFormatting sqref="Q11:R11">
    <cfRule type="duplicateValues" dxfId="221" priority="42"/>
  </conditionalFormatting>
  <conditionalFormatting sqref="Q12">
    <cfRule type="duplicateValues" dxfId="220" priority="41"/>
  </conditionalFormatting>
  <conditionalFormatting sqref="R13:S13">
    <cfRule type="duplicateValues" dxfId="219" priority="40"/>
  </conditionalFormatting>
  <conditionalFormatting sqref="R14">
    <cfRule type="duplicateValues" dxfId="218" priority="39"/>
  </conditionalFormatting>
  <conditionalFormatting sqref="R15:S15">
    <cfRule type="duplicateValues" dxfId="217" priority="38"/>
  </conditionalFormatting>
  <conditionalFormatting sqref="AF10">
    <cfRule type="duplicateValues" dxfId="216" priority="37"/>
  </conditionalFormatting>
  <conditionalFormatting sqref="X4">
    <cfRule type="duplicateValues" dxfId="215" priority="36"/>
  </conditionalFormatting>
  <conditionalFormatting sqref="V5">
    <cfRule type="duplicateValues" dxfId="214" priority="35"/>
  </conditionalFormatting>
  <conditionalFormatting sqref="Y6">
    <cfRule type="duplicateValues" dxfId="213" priority="34"/>
  </conditionalFormatting>
  <conditionalFormatting sqref="W7">
    <cfRule type="duplicateValues" dxfId="212" priority="33"/>
  </conditionalFormatting>
  <conditionalFormatting sqref="AO8 Y8">
    <cfRule type="duplicateValues" dxfId="211" priority="102"/>
  </conditionalFormatting>
  <conditionalFormatting sqref="V9">
    <cfRule type="duplicateValues" dxfId="210" priority="32"/>
  </conditionalFormatting>
  <conditionalFormatting sqref="X10:Y10">
    <cfRule type="duplicateValues" dxfId="209" priority="31"/>
  </conditionalFormatting>
  <conditionalFormatting sqref="V11:W11">
    <cfRule type="duplicateValues" dxfId="208" priority="103"/>
  </conditionalFormatting>
  <conditionalFormatting sqref="X13">
    <cfRule type="duplicateValues" dxfId="207" priority="30"/>
  </conditionalFormatting>
  <conditionalFormatting sqref="Y13 V13">
    <cfRule type="duplicateValues" dxfId="206" priority="29"/>
  </conditionalFormatting>
  <conditionalFormatting sqref="W14">
    <cfRule type="duplicateValues" dxfId="205" priority="28"/>
  </conditionalFormatting>
  <conditionalFormatting sqref="W15:Y15">
    <cfRule type="duplicateValues" dxfId="204" priority="27"/>
  </conditionalFormatting>
  <conditionalFormatting sqref="AC4">
    <cfRule type="duplicateValues" dxfId="203" priority="26"/>
  </conditionalFormatting>
  <conditionalFormatting sqref="AD6 AB6">
    <cfRule type="duplicateValues" dxfId="202" priority="25"/>
  </conditionalFormatting>
  <conditionalFormatting sqref="AA7">
    <cfRule type="duplicateValues" dxfId="201" priority="24"/>
  </conditionalFormatting>
  <conditionalFormatting sqref="Z8">
    <cfRule type="duplicateValues" dxfId="200" priority="23"/>
  </conditionalFormatting>
  <conditionalFormatting sqref="AB9">
    <cfRule type="duplicateValues" dxfId="199" priority="22"/>
  </conditionalFormatting>
  <conditionalFormatting sqref="AC10">
    <cfRule type="duplicateValues" dxfId="198" priority="21"/>
  </conditionalFormatting>
  <conditionalFormatting sqref="AD12">
    <cfRule type="duplicateValues" dxfId="197" priority="20"/>
  </conditionalFormatting>
  <conditionalFormatting sqref="Z13">
    <cfRule type="duplicateValues" dxfId="196" priority="19"/>
  </conditionalFormatting>
  <conditionalFormatting sqref="AC14 AA14">
    <cfRule type="duplicateValues" dxfId="195" priority="18"/>
  </conditionalFormatting>
  <conditionalFormatting sqref="AD15">
    <cfRule type="duplicateValues" dxfId="194" priority="17"/>
  </conditionalFormatting>
  <conditionalFormatting sqref="AE5">
    <cfRule type="duplicateValues" dxfId="193" priority="16"/>
  </conditionalFormatting>
  <conditionalFormatting sqref="AF7">
    <cfRule type="duplicateValues" dxfId="192" priority="15"/>
  </conditionalFormatting>
  <conditionalFormatting sqref="L9">
    <cfRule type="duplicateValues" dxfId="191" priority="14"/>
  </conditionalFormatting>
  <conditionalFormatting sqref="AF13">
    <cfRule type="duplicateValues" dxfId="190" priority="13"/>
  </conditionalFormatting>
  <conditionalFormatting sqref="AO4">
    <cfRule type="duplicateValues" dxfId="189" priority="12"/>
  </conditionalFormatting>
  <conditionalFormatting sqref="AN5">
    <cfRule type="duplicateValues" dxfId="188" priority="11"/>
  </conditionalFormatting>
  <conditionalFormatting sqref="AP5">
    <cfRule type="duplicateValues" dxfId="187" priority="10"/>
  </conditionalFormatting>
  <conditionalFormatting sqref="AP6">
    <cfRule type="duplicateValues" dxfId="186" priority="9"/>
  </conditionalFormatting>
  <conditionalFormatting sqref="AK9">
    <cfRule type="duplicateValues" dxfId="185" priority="8"/>
  </conditionalFormatting>
  <conditionalFormatting sqref="AM10">
    <cfRule type="duplicateValues" dxfId="184" priority="7"/>
  </conditionalFormatting>
  <conditionalFormatting sqref="AJ12">
    <cfRule type="duplicateValues" dxfId="183" priority="6"/>
  </conditionalFormatting>
  <conditionalFormatting sqref="AP14">
    <cfRule type="duplicateValues" dxfId="182" priority="5"/>
  </conditionalFormatting>
  <conditionalFormatting sqref="AL15">
    <cfRule type="duplicateValues" dxfId="181" priority="4"/>
  </conditionalFormatting>
  <conditionalFormatting sqref="AP4">
    <cfRule type="duplicateValues" dxfId="180" priority="3"/>
  </conditionalFormatting>
  <conditionalFormatting sqref="C6">
    <cfRule type="duplicateValues" dxfId="179" priority="2"/>
  </conditionalFormatting>
  <conditionalFormatting sqref="N11">
    <cfRule type="duplicateValues" dxfId="178" priority="1"/>
  </conditionalFormatting>
  <pageMargins left="0.31496062992125984" right="0.31496062992125984" top="0.74803149606299213" bottom="0.74803149606299213" header="0.31496062992125984" footer="0.31496062992125984"/>
  <pageSetup paperSize="9" scale="1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V32"/>
  <sheetViews>
    <sheetView zoomScale="70" zoomScaleNormal="70" zoomScaleSheetLayoutView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5" sqref="N25:O25"/>
    </sheetView>
  </sheetViews>
  <sheetFormatPr defaultColWidth="10.140625" defaultRowHeight="20.100000000000001" customHeight="1"/>
  <cols>
    <col min="1" max="1" width="7.140625" style="206" customWidth="1"/>
    <col min="2" max="2" width="5.7109375" style="206" bestFit="1" customWidth="1"/>
    <col min="3" max="22" width="25.85546875" style="206" customWidth="1"/>
    <col min="23" max="23" width="20.140625" style="206" customWidth="1"/>
    <col min="24" max="24" width="20.85546875" style="206" customWidth="1"/>
    <col min="25" max="26" width="25" style="206" bestFit="1" customWidth="1"/>
    <col min="27" max="27" width="13.7109375" style="206" bestFit="1" customWidth="1"/>
    <col min="28" max="29" width="11.7109375" style="206" bestFit="1" customWidth="1"/>
    <col min="30" max="30" width="13.7109375" style="206" bestFit="1" customWidth="1"/>
    <col min="31" max="31" width="11.7109375" style="206" bestFit="1" customWidth="1"/>
    <col min="32" max="32" width="13.7109375" style="206" bestFit="1" customWidth="1"/>
    <col min="33" max="33" width="11.7109375" style="206" bestFit="1" customWidth="1"/>
    <col min="34" max="34" width="13.7109375" style="206" bestFit="1" customWidth="1"/>
    <col min="35" max="35" width="11.7109375" style="206" bestFit="1" customWidth="1"/>
    <col min="36" max="37" width="13.7109375" style="206" bestFit="1" customWidth="1"/>
    <col min="38" max="38" width="11.7109375" style="206" bestFit="1" customWidth="1"/>
    <col min="39" max="16384" width="10.140625" style="206"/>
  </cols>
  <sheetData>
    <row r="1" spans="1:22" ht="20.100000000000001" customHeight="1" thickBot="1">
      <c r="A1" s="802" t="s">
        <v>1590</v>
      </c>
      <c r="B1" s="803"/>
      <c r="C1" s="803"/>
      <c r="D1" s="803"/>
      <c r="E1" s="803"/>
      <c r="F1" s="803"/>
      <c r="G1" s="803"/>
      <c r="H1" s="803"/>
      <c r="I1" s="803"/>
      <c r="J1" s="803"/>
      <c r="K1" s="803"/>
      <c r="L1" s="803"/>
      <c r="M1" s="803"/>
      <c r="N1" s="803"/>
      <c r="O1" s="803"/>
      <c r="P1" s="803"/>
      <c r="Q1" s="803"/>
      <c r="R1" s="803"/>
      <c r="S1" s="803"/>
      <c r="T1" s="803"/>
    </row>
    <row r="2" spans="1:22" ht="20.100000000000001" customHeight="1" thickBot="1">
      <c r="A2" s="487" t="s">
        <v>1334</v>
      </c>
      <c r="B2" s="486"/>
      <c r="C2" s="804" t="s">
        <v>1350</v>
      </c>
      <c r="D2" s="805"/>
      <c r="E2" s="805"/>
      <c r="F2" s="805"/>
      <c r="G2" s="806"/>
      <c r="H2" s="485" t="s">
        <v>125</v>
      </c>
      <c r="I2" s="807" t="s">
        <v>1351</v>
      </c>
      <c r="J2" s="808"/>
      <c r="K2" s="808"/>
      <c r="L2" s="809"/>
      <c r="M2" s="807" t="s">
        <v>1352</v>
      </c>
      <c r="N2" s="808"/>
      <c r="O2" s="808"/>
      <c r="P2" s="808"/>
      <c r="Q2" s="809"/>
    </row>
    <row r="3" spans="1:22" ht="20.100000000000001" customHeight="1" thickBot="1">
      <c r="A3" s="469" t="s">
        <v>1320</v>
      </c>
      <c r="B3" s="468" t="s">
        <v>1321</v>
      </c>
      <c r="C3" s="467" t="s">
        <v>1340</v>
      </c>
      <c r="D3" s="466" t="s">
        <v>1341</v>
      </c>
      <c r="E3" s="466" t="s">
        <v>1342</v>
      </c>
      <c r="F3" s="466" t="s">
        <v>1343</v>
      </c>
      <c r="G3" s="463" t="s">
        <v>1593</v>
      </c>
      <c r="H3" s="484" t="s">
        <v>1344</v>
      </c>
      <c r="I3" s="467" t="s">
        <v>1818</v>
      </c>
      <c r="J3" s="483" t="s">
        <v>1345</v>
      </c>
      <c r="K3" s="464" t="s">
        <v>1584</v>
      </c>
      <c r="L3" s="466" t="s">
        <v>1817</v>
      </c>
      <c r="M3" s="467" t="s">
        <v>1346</v>
      </c>
      <c r="N3" s="466" t="s">
        <v>1347</v>
      </c>
      <c r="O3" s="466" t="s">
        <v>1348</v>
      </c>
      <c r="P3" s="466" t="s">
        <v>1349</v>
      </c>
      <c r="Q3" s="463" t="s">
        <v>1585</v>
      </c>
      <c r="T3" s="470"/>
      <c r="U3" s="470"/>
    </row>
    <row r="4" spans="1:22" ht="20.100000000000001" customHeight="1">
      <c r="A4" s="810">
        <v>115</v>
      </c>
      <c r="B4" s="460">
        <v>8</v>
      </c>
      <c r="C4" s="454" t="s">
        <v>1646</v>
      </c>
      <c r="D4" s="236" t="s">
        <v>1650</v>
      </c>
      <c r="E4" s="339"/>
      <c r="F4" s="235"/>
      <c r="G4" s="196" t="s">
        <v>1689</v>
      </c>
      <c r="H4" s="499" t="s">
        <v>1674</v>
      </c>
      <c r="I4" s="493"/>
      <c r="J4" s="482" t="s">
        <v>1715</v>
      </c>
      <c r="K4" s="235" t="s">
        <v>1793</v>
      </c>
      <c r="L4" s="481"/>
      <c r="M4" s="454" t="s">
        <v>1771</v>
      </c>
      <c r="N4" s="234"/>
      <c r="O4" s="234"/>
      <c r="P4" s="234"/>
      <c r="Q4" s="480" t="s">
        <v>1816</v>
      </c>
      <c r="T4" s="470"/>
      <c r="U4" s="470"/>
    </row>
    <row r="5" spans="1:22" ht="20.100000000000001" customHeight="1">
      <c r="A5" s="811"/>
      <c r="B5" s="256">
        <v>9</v>
      </c>
      <c r="C5" s="228"/>
      <c r="D5" s="218"/>
      <c r="E5" s="58" t="s">
        <v>1695</v>
      </c>
      <c r="F5" s="6" t="s">
        <v>1651</v>
      </c>
      <c r="G5" s="200" t="s">
        <v>1671</v>
      </c>
      <c r="H5" s="500" t="s">
        <v>1646</v>
      </c>
      <c r="I5" s="490" t="s">
        <v>1744</v>
      </c>
      <c r="J5" s="218"/>
      <c r="K5" s="218"/>
      <c r="L5" s="478" t="s">
        <v>1815</v>
      </c>
      <c r="M5" s="258"/>
      <c r="N5" s="31" t="s">
        <v>1674</v>
      </c>
      <c r="O5" s="221"/>
      <c r="P5" s="57" t="s">
        <v>1814</v>
      </c>
      <c r="Q5" s="249"/>
      <c r="T5" s="470"/>
      <c r="U5" s="470"/>
    </row>
    <row r="6" spans="1:22" ht="20.100000000000001" customHeight="1">
      <c r="A6" s="811"/>
      <c r="B6" s="256">
        <v>10</v>
      </c>
      <c r="C6" s="295" t="s">
        <v>1667</v>
      </c>
      <c r="D6" s="31" t="s">
        <v>1674</v>
      </c>
      <c r="E6" s="6" t="s">
        <v>1641</v>
      </c>
      <c r="F6" s="259"/>
      <c r="G6" s="217"/>
      <c r="H6" s="501"/>
      <c r="I6" s="494"/>
      <c r="J6" s="170" t="s">
        <v>1719</v>
      </c>
      <c r="K6" s="170" t="s">
        <v>1697</v>
      </c>
      <c r="L6" s="256"/>
      <c r="M6" s="199" t="s">
        <v>1705</v>
      </c>
      <c r="N6" s="58" t="s">
        <v>1721</v>
      </c>
      <c r="O6" s="259"/>
      <c r="P6" s="479"/>
      <c r="Q6" s="249"/>
      <c r="T6" s="470"/>
      <c r="U6" s="470"/>
    </row>
    <row r="7" spans="1:22" ht="20.100000000000001" customHeight="1">
      <c r="A7" s="811"/>
      <c r="B7" s="256">
        <v>11</v>
      </c>
      <c r="C7" s="228"/>
      <c r="D7" s="218"/>
      <c r="E7" s="6" t="s">
        <v>1654</v>
      </c>
      <c r="F7" s="6" t="s">
        <v>1670</v>
      </c>
      <c r="G7" s="491" t="s">
        <v>1638</v>
      </c>
      <c r="H7" s="501"/>
      <c r="I7" s="494"/>
      <c r="J7" s="82" t="s">
        <v>1652</v>
      </c>
      <c r="K7" s="451"/>
      <c r="L7" s="478" t="s">
        <v>1813</v>
      </c>
      <c r="M7" s="258"/>
      <c r="N7" s="221"/>
      <c r="O7" s="6" t="s">
        <v>1653</v>
      </c>
      <c r="P7" s="259"/>
      <c r="Q7" s="200" t="s">
        <v>1641</v>
      </c>
      <c r="T7" s="470"/>
      <c r="U7" s="470"/>
    </row>
    <row r="8" spans="1:22" ht="20.100000000000001" customHeight="1">
      <c r="A8" s="811"/>
      <c r="B8" s="256">
        <v>12</v>
      </c>
      <c r="C8" s="295" t="s">
        <v>1653</v>
      </c>
      <c r="D8" s="6" t="s">
        <v>1655</v>
      </c>
      <c r="E8" s="259"/>
      <c r="F8" s="6" t="s">
        <v>1652</v>
      </c>
      <c r="G8" s="217"/>
      <c r="H8" s="502" t="s">
        <v>1638</v>
      </c>
      <c r="I8" s="495" t="s">
        <v>1722</v>
      </c>
      <c r="J8" s="218"/>
      <c r="K8" s="452"/>
      <c r="L8" s="477"/>
      <c r="M8" s="199" t="s">
        <v>1716</v>
      </c>
      <c r="N8" s="221"/>
      <c r="O8" s="58" t="s">
        <v>1677</v>
      </c>
      <c r="P8" s="221"/>
      <c r="Q8" s="249"/>
      <c r="T8" s="470"/>
      <c r="U8" s="470"/>
    </row>
    <row r="9" spans="1:22" ht="20.100000000000001" customHeight="1">
      <c r="A9" s="811">
        <v>116</v>
      </c>
      <c r="B9" s="256">
        <v>1</v>
      </c>
      <c r="C9" s="488" t="s">
        <v>1663</v>
      </c>
      <c r="D9" s="58" t="s">
        <v>1724</v>
      </c>
      <c r="E9" s="452"/>
      <c r="F9" s="452"/>
      <c r="G9" s="200" t="s">
        <v>1666</v>
      </c>
      <c r="H9" s="501"/>
      <c r="I9" s="495" t="s">
        <v>1727</v>
      </c>
      <c r="J9" s="170" t="s">
        <v>1711</v>
      </c>
      <c r="K9" s="218"/>
      <c r="L9" s="475"/>
      <c r="M9" s="258"/>
      <c r="N9" s="58" t="s">
        <v>1722</v>
      </c>
      <c r="O9" s="221"/>
      <c r="P9" s="58" t="s">
        <v>1678</v>
      </c>
      <c r="Q9" s="249"/>
      <c r="T9" s="470"/>
      <c r="U9" s="470"/>
    </row>
    <row r="10" spans="1:22" ht="18.75" customHeight="1">
      <c r="A10" s="811"/>
      <c r="B10" s="256">
        <v>2</v>
      </c>
      <c r="C10" s="228"/>
      <c r="D10" s="6" t="s">
        <v>1637</v>
      </c>
      <c r="E10" s="6" t="s">
        <v>1673</v>
      </c>
      <c r="F10" s="31" t="s">
        <v>1674</v>
      </c>
      <c r="G10" s="217"/>
      <c r="H10" s="501"/>
      <c r="I10" s="496"/>
      <c r="J10" s="452"/>
      <c r="K10" s="82" t="s">
        <v>1658</v>
      </c>
      <c r="L10" s="474" t="s">
        <v>1676</v>
      </c>
      <c r="M10" s="258"/>
      <c r="N10" s="259"/>
      <c r="O10" s="58" t="s">
        <v>1698</v>
      </c>
      <c r="P10" s="221"/>
      <c r="Q10" s="491" t="s">
        <v>1663</v>
      </c>
      <c r="T10" s="470"/>
      <c r="U10" s="470"/>
    </row>
    <row r="11" spans="1:22" ht="20.100000000000001" customHeight="1">
      <c r="A11" s="811"/>
      <c r="B11" s="256">
        <v>3</v>
      </c>
      <c r="C11" s="295" t="s">
        <v>1672</v>
      </c>
      <c r="D11" s="218"/>
      <c r="E11" s="6" t="s">
        <v>1658</v>
      </c>
      <c r="F11" s="451"/>
      <c r="G11" s="200" t="s">
        <v>1644</v>
      </c>
      <c r="H11" s="502" t="s">
        <v>1663</v>
      </c>
      <c r="I11" s="494"/>
      <c r="J11" s="170" t="s">
        <v>1703</v>
      </c>
      <c r="K11" s="170" t="s">
        <v>1701</v>
      </c>
      <c r="L11" s="476"/>
      <c r="M11" s="258"/>
      <c r="N11" s="221"/>
      <c r="O11" s="221"/>
      <c r="P11" s="58" t="s">
        <v>1702</v>
      </c>
      <c r="Q11" s="249"/>
      <c r="T11" s="470"/>
      <c r="U11" s="470"/>
    </row>
    <row r="12" spans="1:22" ht="20.100000000000001" customHeight="1">
      <c r="A12" s="811"/>
      <c r="B12" s="256">
        <v>4</v>
      </c>
      <c r="C12" s="301"/>
      <c r="D12" s="6" t="s">
        <v>1669</v>
      </c>
      <c r="E12" s="218"/>
      <c r="F12" s="6" t="s">
        <v>1781</v>
      </c>
      <c r="G12" s="200" t="s">
        <v>1668</v>
      </c>
      <c r="H12" s="500" t="s">
        <v>1661</v>
      </c>
      <c r="I12" s="497" t="s">
        <v>1812</v>
      </c>
      <c r="J12" s="218"/>
      <c r="K12" s="452"/>
      <c r="L12" s="31" t="s">
        <v>1674</v>
      </c>
      <c r="M12" s="258"/>
      <c r="N12" s="58" t="s">
        <v>1703</v>
      </c>
      <c r="O12" s="58" t="s">
        <v>1692</v>
      </c>
      <c r="P12" s="221"/>
      <c r="Q12" s="249"/>
      <c r="T12" s="470"/>
      <c r="U12" s="470"/>
    </row>
    <row r="13" spans="1:22" ht="18.75">
      <c r="A13" s="811"/>
      <c r="B13" s="256">
        <v>5</v>
      </c>
      <c r="C13" s="295" t="s">
        <v>1661</v>
      </c>
      <c r="D13" s="259"/>
      <c r="E13" s="11" t="s">
        <v>1647</v>
      </c>
      <c r="F13" s="31" t="s">
        <v>1638</v>
      </c>
      <c r="G13" s="217"/>
      <c r="H13" s="501"/>
      <c r="I13" s="496"/>
      <c r="J13" s="218"/>
      <c r="K13" s="170" t="s">
        <v>1696</v>
      </c>
      <c r="L13" s="474" t="s">
        <v>1679</v>
      </c>
      <c r="M13" s="258"/>
      <c r="N13" s="221"/>
      <c r="O13" s="221"/>
      <c r="P13" s="58" t="s">
        <v>1675</v>
      </c>
      <c r="Q13" s="197" t="s">
        <v>1723</v>
      </c>
      <c r="T13" s="470"/>
      <c r="U13" s="470"/>
    </row>
    <row r="14" spans="1:22" ht="20.100000000000001" customHeight="1">
      <c r="A14" s="811"/>
      <c r="B14" s="256">
        <v>6</v>
      </c>
      <c r="C14" s="295" t="s">
        <v>1800</v>
      </c>
      <c r="D14" s="82" t="s">
        <v>1645</v>
      </c>
      <c r="E14" s="259"/>
      <c r="F14" s="218"/>
      <c r="G14" s="200" t="s">
        <v>1660</v>
      </c>
      <c r="H14" s="500" t="s">
        <v>1665</v>
      </c>
      <c r="I14" s="490" t="s">
        <v>1638</v>
      </c>
      <c r="J14" s="170" t="s">
        <v>1709</v>
      </c>
      <c r="K14" s="218"/>
      <c r="L14" s="473"/>
      <c r="M14" s="472"/>
      <c r="N14" s="58" t="s">
        <v>1690</v>
      </c>
      <c r="O14" s="259"/>
      <c r="P14" s="259"/>
      <c r="Q14" s="200" t="s">
        <v>1789</v>
      </c>
      <c r="T14" s="470"/>
      <c r="U14" s="470"/>
    </row>
    <row r="15" spans="1:22" ht="20.100000000000001" customHeight="1" thickBot="1">
      <c r="A15" s="812"/>
      <c r="B15" s="447">
        <v>7</v>
      </c>
      <c r="C15" s="444"/>
      <c r="D15" s="492" t="s">
        <v>1663</v>
      </c>
      <c r="E15" s="213" t="s">
        <v>1662</v>
      </c>
      <c r="F15" s="213" t="s">
        <v>1665</v>
      </c>
      <c r="G15" s="209"/>
      <c r="H15" s="503"/>
      <c r="I15" s="498" t="s">
        <v>1777</v>
      </c>
      <c r="J15" s="292"/>
      <c r="K15" s="202" t="s">
        <v>1710</v>
      </c>
      <c r="L15" s="443"/>
      <c r="M15" s="201" t="s">
        <v>1714</v>
      </c>
      <c r="N15" s="211"/>
      <c r="O15" s="211"/>
      <c r="P15" s="202" t="s">
        <v>1706</v>
      </c>
      <c r="Q15" s="243"/>
      <c r="T15" s="470"/>
      <c r="U15" s="470"/>
    </row>
    <row r="16" spans="1:22" ht="20.100000000000001" customHeight="1">
      <c r="A16" s="470"/>
      <c r="B16" s="470"/>
      <c r="C16" s="470"/>
      <c r="D16" s="470"/>
      <c r="E16" s="470"/>
      <c r="F16" s="470"/>
      <c r="G16" s="470"/>
      <c r="H16" s="470"/>
      <c r="I16" s="470"/>
      <c r="J16" s="470"/>
      <c r="K16" s="470"/>
      <c r="L16" s="470"/>
      <c r="M16" s="470"/>
      <c r="N16" s="470"/>
      <c r="O16" s="470"/>
      <c r="P16" s="470"/>
      <c r="Q16" s="470"/>
      <c r="R16" s="470"/>
      <c r="S16" s="470"/>
      <c r="T16" s="470"/>
      <c r="U16" s="470"/>
      <c r="V16" s="470"/>
    </row>
    <row r="17" spans="1:22" ht="20.100000000000001" customHeight="1" thickBot="1">
      <c r="A17" s="470"/>
      <c r="B17" s="470"/>
      <c r="C17" s="470"/>
      <c r="D17" s="470"/>
      <c r="E17" s="470"/>
      <c r="F17" s="470"/>
      <c r="G17" s="470"/>
      <c r="H17" s="470"/>
      <c r="I17" s="470"/>
      <c r="J17" s="470"/>
      <c r="K17" s="470"/>
      <c r="L17" s="470"/>
      <c r="M17" s="470"/>
      <c r="N17" s="470"/>
      <c r="O17" s="470"/>
      <c r="P17" s="470"/>
      <c r="Q17" s="470"/>
      <c r="R17" s="470"/>
      <c r="S17" s="470"/>
      <c r="T17" s="470"/>
      <c r="U17" s="470"/>
      <c r="V17" s="470"/>
    </row>
    <row r="18" spans="1:22" ht="20.100000000000001" customHeight="1" thickBot="1">
      <c r="A18" s="818" t="s">
        <v>1592</v>
      </c>
      <c r="B18" s="819"/>
      <c r="C18" s="819"/>
      <c r="D18" s="819"/>
      <c r="E18" s="819"/>
      <c r="F18" s="819"/>
      <c r="G18" s="819"/>
      <c r="H18" s="819"/>
      <c r="I18" s="819"/>
      <c r="J18" s="819"/>
      <c r="K18" s="819"/>
      <c r="L18" s="819"/>
      <c r="M18" s="819"/>
      <c r="N18" s="819"/>
      <c r="O18" s="819"/>
      <c r="P18" s="819"/>
      <c r="Q18" s="819"/>
      <c r="R18" s="819"/>
      <c r="S18" s="820"/>
      <c r="T18" s="471"/>
      <c r="U18" s="470"/>
      <c r="V18" s="470"/>
    </row>
    <row r="19" spans="1:22" ht="20.100000000000001" customHeight="1" thickBot="1">
      <c r="A19" s="813" t="s">
        <v>1334</v>
      </c>
      <c r="B19" s="814"/>
      <c r="C19" s="815" t="s">
        <v>1364</v>
      </c>
      <c r="D19" s="816"/>
      <c r="E19" s="816"/>
      <c r="F19" s="817"/>
      <c r="G19" s="815" t="s">
        <v>1365</v>
      </c>
      <c r="H19" s="816"/>
      <c r="I19" s="816"/>
      <c r="J19" s="816"/>
      <c r="K19" s="816"/>
      <c r="L19" s="816"/>
      <c r="M19" s="817"/>
      <c r="N19" s="815" t="s">
        <v>1366</v>
      </c>
      <c r="O19" s="817"/>
      <c r="P19" s="815" t="s">
        <v>1367</v>
      </c>
      <c r="Q19" s="816"/>
      <c r="R19" s="816"/>
      <c r="S19" s="817"/>
    </row>
    <row r="20" spans="1:22" ht="20.100000000000001" customHeight="1" thickBot="1">
      <c r="A20" s="469" t="s">
        <v>1320</v>
      </c>
      <c r="B20" s="468" t="s">
        <v>1321</v>
      </c>
      <c r="C20" s="467" t="s">
        <v>1353</v>
      </c>
      <c r="D20" s="466" t="s">
        <v>1354</v>
      </c>
      <c r="E20" s="466" t="s">
        <v>1355</v>
      </c>
      <c r="F20" s="464" t="s">
        <v>1356</v>
      </c>
      <c r="G20" s="462" t="s">
        <v>1358</v>
      </c>
      <c r="H20" s="465" t="s">
        <v>1357</v>
      </c>
      <c r="I20" s="465" t="s">
        <v>1359</v>
      </c>
      <c r="J20" s="465" t="s">
        <v>1360</v>
      </c>
      <c r="K20" s="465" t="s">
        <v>1361</v>
      </c>
      <c r="L20" s="465" t="s">
        <v>1586</v>
      </c>
      <c r="M20" s="461" t="s">
        <v>1587</v>
      </c>
      <c r="N20" s="462" t="s">
        <v>1588</v>
      </c>
      <c r="O20" s="461" t="s">
        <v>1362</v>
      </c>
      <c r="P20" s="545" t="s">
        <v>1363</v>
      </c>
      <c r="Q20" s="206" t="s">
        <v>1811</v>
      </c>
      <c r="R20" s="464" t="s">
        <v>1589</v>
      </c>
      <c r="S20" s="544" t="s">
        <v>1594</v>
      </c>
    </row>
    <row r="21" spans="1:22" ht="20.100000000000001" customHeight="1">
      <c r="A21" s="810">
        <v>115</v>
      </c>
      <c r="B21" s="460">
        <v>8</v>
      </c>
      <c r="C21" s="454" t="s">
        <v>1779</v>
      </c>
      <c r="D21" s="455"/>
      <c r="E21" s="235"/>
      <c r="F21" s="196" t="s">
        <v>1694</v>
      </c>
      <c r="G21" s="315" t="s">
        <v>1774</v>
      </c>
      <c r="H21" s="294"/>
      <c r="I21" s="459"/>
      <c r="J21" s="459"/>
      <c r="K21" s="316" t="s">
        <v>1810</v>
      </c>
      <c r="L21" s="458" t="s">
        <v>1695</v>
      </c>
      <c r="M21" s="457" t="s">
        <v>1717</v>
      </c>
      <c r="N21" s="454" t="s">
        <v>1807</v>
      </c>
      <c r="O21" s="196" t="s">
        <v>1718</v>
      </c>
      <c r="P21" s="456" t="s">
        <v>1809</v>
      </c>
      <c r="Q21" s="236" t="s">
        <v>1808</v>
      </c>
      <c r="R21" s="455"/>
      <c r="S21" s="264"/>
    </row>
    <row r="22" spans="1:22" ht="19.5" customHeight="1">
      <c r="A22" s="811"/>
      <c r="B22" s="256">
        <v>9</v>
      </c>
      <c r="C22" s="228"/>
      <c r="D22" s="6" t="s">
        <v>1650</v>
      </c>
      <c r="E22" s="58" t="s">
        <v>1715</v>
      </c>
      <c r="F22" s="217"/>
      <c r="G22" s="199" t="s">
        <v>1694</v>
      </c>
      <c r="H22" s="58" t="s">
        <v>1718</v>
      </c>
      <c r="I22" s="58" t="s">
        <v>1806</v>
      </c>
      <c r="J22" s="218"/>
      <c r="K22" s="218"/>
      <c r="L22" s="451"/>
      <c r="M22" s="217"/>
      <c r="N22" s="199" t="s">
        <v>1717</v>
      </c>
      <c r="O22" s="197" t="s">
        <v>1721</v>
      </c>
      <c r="P22" s="228"/>
      <c r="Q22" s="218"/>
      <c r="R22" s="218"/>
      <c r="S22" s="250"/>
    </row>
    <row r="23" spans="1:22" ht="20.100000000000001" customHeight="1">
      <c r="A23" s="811"/>
      <c r="B23" s="256">
        <v>10</v>
      </c>
      <c r="C23" s="199" t="s">
        <v>1707</v>
      </c>
      <c r="D23" s="218"/>
      <c r="E23" s="218"/>
      <c r="F23" s="217"/>
      <c r="G23" s="228"/>
      <c r="H23" s="58" t="s">
        <v>1744</v>
      </c>
      <c r="I23" s="218"/>
      <c r="J23" s="31" t="s">
        <v>1638</v>
      </c>
      <c r="K23" s="294"/>
      <c r="L23" s="452"/>
      <c r="M23" s="217"/>
      <c r="N23" s="295" t="s">
        <v>1769</v>
      </c>
      <c r="O23" s="200" t="s">
        <v>1772</v>
      </c>
      <c r="P23" s="228"/>
      <c r="Q23" s="171" t="s">
        <v>1802</v>
      </c>
      <c r="R23" s="218"/>
      <c r="S23" s="314" t="s">
        <v>1805</v>
      </c>
    </row>
    <row r="24" spans="1:22" ht="19.5" customHeight="1">
      <c r="A24" s="811"/>
      <c r="B24" s="256">
        <v>11</v>
      </c>
      <c r="C24" s="228"/>
      <c r="D24" s="6" t="s">
        <v>1667</v>
      </c>
      <c r="E24" s="58" t="s">
        <v>1776</v>
      </c>
      <c r="F24" s="453"/>
      <c r="G24" s="228"/>
      <c r="H24" s="452"/>
      <c r="I24" s="58" t="s">
        <v>1719</v>
      </c>
      <c r="J24" s="58" t="s">
        <v>1705</v>
      </c>
      <c r="K24" s="58" t="s">
        <v>1716</v>
      </c>
      <c r="L24" s="6" t="s">
        <v>1804</v>
      </c>
      <c r="M24" s="217"/>
      <c r="N24" s="199" t="s">
        <v>1697</v>
      </c>
      <c r="O24" s="197" t="s">
        <v>1707</v>
      </c>
      <c r="P24" s="228"/>
      <c r="Q24" s="218"/>
      <c r="R24" s="171" t="s">
        <v>1801</v>
      </c>
      <c r="S24" s="250"/>
    </row>
    <row r="25" spans="1:22" ht="20.100000000000001" customHeight="1">
      <c r="A25" s="811"/>
      <c r="B25" s="256">
        <v>12</v>
      </c>
      <c r="C25" s="228"/>
      <c r="D25" s="58" t="s">
        <v>1711</v>
      </c>
      <c r="E25" s="218"/>
      <c r="F25" s="217"/>
      <c r="G25" s="228"/>
      <c r="H25" s="31" t="s">
        <v>1663</v>
      </c>
      <c r="I25" s="218"/>
      <c r="J25" s="218"/>
      <c r="K25" s="452"/>
      <c r="L25" s="58" t="s">
        <v>1727</v>
      </c>
      <c r="M25" s="197" t="s">
        <v>1803</v>
      </c>
      <c r="N25" s="199" t="s">
        <v>1678</v>
      </c>
      <c r="O25" s="197" t="s">
        <v>1724</v>
      </c>
      <c r="P25" s="228"/>
      <c r="Q25" s="218"/>
      <c r="R25" s="218"/>
      <c r="S25" s="250"/>
    </row>
    <row r="26" spans="1:22" ht="18.75">
      <c r="A26" s="811">
        <v>116</v>
      </c>
      <c r="B26" s="256">
        <v>1</v>
      </c>
      <c r="C26" s="228"/>
      <c r="D26" s="218"/>
      <c r="E26" s="218"/>
      <c r="F26" s="491" t="s">
        <v>1674</v>
      </c>
      <c r="G26" s="295" t="s">
        <v>1655</v>
      </c>
      <c r="H26" s="348"/>
      <c r="I26" s="451"/>
      <c r="J26" s="218"/>
      <c r="K26" s="218"/>
      <c r="L26" s="218"/>
      <c r="M26" s="197" t="s">
        <v>1677</v>
      </c>
      <c r="N26" s="199" t="s">
        <v>1720</v>
      </c>
      <c r="O26" s="200" t="s">
        <v>1792</v>
      </c>
      <c r="P26" s="228"/>
      <c r="Q26" s="218"/>
      <c r="R26" s="218"/>
      <c r="S26" s="200" t="s">
        <v>1802</v>
      </c>
    </row>
    <row r="27" spans="1:22" ht="18.75" customHeight="1">
      <c r="A27" s="811"/>
      <c r="B27" s="256">
        <v>2</v>
      </c>
      <c r="C27" s="295" t="s">
        <v>1786</v>
      </c>
      <c r="D27" s="218"/>
      <c r="E27" s="218"/>
      <c r="F27" s="217"/>
      <c r="G27" s="228"/>
      <c r="H27" s="58" t="s">
        <v>1701</v>
      </c>
      <c r="I27" s="58" t="s">
        <v>1702</v>
      </c>
      <c r="J27" s="58" t="s">
        <v>1720</v>
      </c>
      <c r="K27" s="58" t="s">
        <v>1724</v>
      </c>
      <c r="L27" s="218"/>
      <c r="M27" s="217"/>
      <c r="N27" s="295" t="s">
        <v>1666</v>
      </c>
      <c r="O27" s="197" t="s">
        <v>1693</v>
      </c>
      <c r="P27" s="228"/>
      <c r="Q27" s="218"/>
      <c r="R27" s="218"/>
      <c r="S27" s="250"/>
    </row>
    <row r="28" spans="1:22" ht="19.5" customHeight="1">
      <c r="A28" s="811"/>
      <c r="B28" s="256">
        <v>3</v>
      </c>
      <c r="C28" s="228"/>
      <c r="D28" s="218"/>
      <c r="E28" s="6" t="s">
        <v>1787</v>
      </c>
      <c r="F28" s="217"/>
      <c r="G28" s="199" t="s">
        <v>1700</v>
      </c>
      <c r="H28" s="294"/>
      <c r="I28" s="451"/>
      <c r="J28" s="218"/>
      <c r="K28" s="294"/>
      <c r="L28" s="58" t="s">
        <v>1693</v>
      </c>
      <c r="M28" s="197" t="s">
        <v>1698</v>
      </c>
      <c r="N28" s="199" t="s">
        <v>1676</v>
      </c>
      <c r="O28" s="491" t="s">
        <v>1674</v>
      </c>
      <c r="P28" s="295" t="s">
        <v>1801</v>
      </c>
      <c r="Q28" s="218"/>
      <c r="R28" s="218"/>
      <c r="S28" s="250"/>
    </row>
    <row r="29" spans="1:22" ht="20.100000000000001" customHeight="1">
      <c r="A29" s="811"/>
      <c r="B29" s="256">
        <v>4</v>
      </c>
      <c r="C29" s="228"/>
      <c r="D29" s="218"/>
      <c r="E29" s="58" t="s">
        <v>1700</v>
      </c>
      <c r="F29" s="197" t="s">
        <v>1712</v>
      </c>
      <c r="G29" s="228"/>
      <c r="H29" s="218"/>
      <c r="I29" s="6" t="s">
        <v>1644</v>
      </c>
      <c r="J29" s="58" t="s">
        <v>1696</v>
      </c>
      <c r="K29" s="58" t="s">
        <v>1723</v>
      </c>
      <c r="L29" s="451"/>
      <c r="M29" s="310"/>
      <c r="N29" s="488" t="s">
        <v>1638</v>
      </c>
      <c r="O29" s="197" t="s">
        <v>1679</v>
      </c>
      <c r="P29" s="228"/>
      <c r="Q29" s="451"/>
      <c r="R29" s="218"/>
      <c r="S29" s="275"/>
    </row>
    <row r="30" spans="1:22" ht="20.100000000000001" customHeight="1">
      <c r="A30" s="811"/>
      <c r="B30" s="256">
        <v>5</v>
      </c>
      <c r="C30" s="228"/>
      <c r="D30" s="218"/>
      <c r="E30" s="218"/>
      <c r="F30" s="200" t="s">
        <v>1781</v>
      </c>
      <c r="G30" s="228"/>
      <c r="H30" s="451"/>
      <c r="I30" s="218"/>
      <c r="J30" s="6"/>
      <c r="K30" s="218"/>
      <c r="L30" s="58" t="s">
        <v>1692</v>
      </c>
      <c r="M30" s="197" t="s">
        <v>1712</v>
      </c>
      <c r="N30" s="295" t="s">
        <v>1790</v>
      </c>
      <c r="O30" s="200" t="s">
        <v>1668</v>
      </c>
      <c r="P30" s="228"/>
      <c r="Q30" s="218"/>
      <c r="R30" s="218"/>
      <c r="S30" s="450"/>
    </row>
    <row r="31" spans="1:22" ht="19.5" customHeight="1">
      <c r="A31" s="811"/>
      <c r="B31" s="256">
        <v>6</v>
      </c>
      <c r="C31" s="449" t="s">
        <v>1647</v>
      </c>
      <c r="D31" s="218"/>
      <c r="E31" s="218"/>
      <c r="F31" s="310"/>
      <c r="G31" s="448"/>
      <c r="H31" s="58" t="s">
        <v>1710</v>
      </c>
      <c r="I31" s="58" t="s">
        <v>1714</v>
      </c>
      <c r="J31" s="6" t="s">
        <v>1662</v>
      </c>
      <c r="K31" s="218"/>
      <c r="L31" s="218"/>
      <c r="M31" s="217"/>
      <c r="N31" s="199" t="s">
        <v>1675</v>
      </c>
      <c r="O31" s="197" t="s">
        <v>1706</v>
      </c>
      <c r="P31" s="228"/>
      <c r="Q31" s="218"/>
      <c r="R31" s="218"/>
      <c r="S31" s="250"/>
    </row>
    <row r="32" spans="1:22" ht="20.100000000000001" customHeight="1" thickBot="1">
      <c r="A32" s="812"/>
      <c r="B32" s="447">
        <v>7</v>
      </c>
      <c r="C32" s="446"/>
      <c r="D32" s="492" t="s">
        <v>1638</v>
      </c>
      <c r="E32" s="292"/>
      <c r="F32" s="209"/>
      <c r="G32" s="201" t="s">
        <v>1709</v>
      </c>
      <c r="H32" s="292"/>
      <c r="I32" s="292"/>
      <c r="J32" s="292"/>
      <c r="K32" s="213" t="s">
        <v>1780</v>
      </c>
      <c r="L32" s="445"/>
      <c r="M32" s="209"/>
      <c r="N32" s="201" t="s">
        <v>1690</v>
      </c>
      <c r="O32" s="287" t="s">
        <v>1800</v>
      </c>
      <c r="P32" s="444"/>
      <c r="Q32" s="292"/>
      <c r="R32" s="443"/>
      <c r="S32" s="247"/>
    </row>
  </sheetData>
  <mergeCells count="14">
    <mergeCell ref="A26:A32"/>
    <mergeCell ref="A9:A15"/>
    <mergeCell ref="A19:B19"/>
    <mergeCell ref="I2:L2"/>
    <mergeCell ref="C19:F19"/>
    <mergeCell ref="A18:S18"/>
    <mergeCell ref="G19:M19"/>
    <mergeCell ref="N19:O19"/>
    <mergeCell ref="P19:S19"/>
    <mergeCell ref="A1:T1"/>
    <mergeCell ref="C2:G2"/>
    <mergeCell ref="M2:Q2"/>
    <mergeCell ref="A4:A8"/>
    <mergeCell ref="A21:A25"/>
  </mergeCells>
  <phoneticPr fontId="5" type="noConversion"/>
  <conditionalFormatting sqref="C5">
    <cfRule type="duplicateValues" dxfId="177" priority="62"/>
    <cfRule type="duplicateValues" dxfId="176" priority="63"/>
  </conditionalFormatting>
  <conditionalFormatting sqref="C7">
    <cfRule type="duplicateValues" dxfId="175" priority="60"/>
    <cfRule type="duplicateValues" dxfId="174" priority="61"/>
  </conditionalFormatting>
  <conditionalFormatting sqref="D7">
    <cfRule type="duplicateValues" dxfId="173" priority="58"/>
    <cfRule type="duplicateValues" dxfId="172" priority="59"/>
  </conditionalFormatting>
  <conditionalFormatting sqref="D11">
    <cfRule type="duplicateValues" dxfId="171" priority="54"/>
    <cfRule type="duplicateValues" dxfId="170" priority="55"/>
  </conditionalFormatting>
  <conditionalFormatting sqref="F23">
    <cfRule type="duplicateValues" dxfId="169" priority="52"/>
    <cfRule type="duplicateValues" dxfId="168" priority="53"/>
  </conditionalFormatting>
  <conditionalFormatting sqref="J8">
    <cfRule type="duplicateValues" dxfId="167" priority="56"/>
    <cfRule type="duplicateValues" dxfId="166" priority="57"/>
  </conditionalFormatting>
  <conditionalFormatting sqref="F4">
    <cfRule type="duplicateValues" dxfId="165" priority="50"/>
    <cfRule type="duplicateValues" dxfId="164" priority="51"/>
  </conditionalFormatting>
  <conditionalFormatting sqref="E5">
    <cfRule type="duplicateValues" dxfId="163" priority="49"/>
  </conditionalFormatting>
  <conditionalFormatting sqref="D9">
    <cfRule type="duplicateValues" dxfId="162" priority="48"/>
  </conditionalFormatting>
  <conditionalFormatting sqref="J4">
    <cfRule type="duplicateValues" dxfId="161" priority="47"/>
  </conditionalFormatting>
  <conditionalFormatting sqref="L5">
    <cfRule type="duplicateValues" dxfId="160" priority="46"/>
  </conditionalFormatting>
  <conditionalFormatting sqref="J6:K6">
    <cfRule type="duplicateValues" dxfId="159" priority="64"/>
  </conditionalFormatting>
  <conditionalFormatting sqref="K9:L9">
    <cfRule type="duplicateValues" dxfId="158" priority="65"/>
    <cfRule type="duplicateValues" dxfId="157" priority="66"/>
  </conditionalFormatting>
  <conditionalFormatting sqref="L7">
    <cfRule type="duplicateValues" dxfId="156" priority="45"/>
  </conditionalFormatting>
  <conditionalFormatting sqref="I8">
    <cfRule type="duplicateValues" dxfId="155" priority="44"/>
  </conditionalFormatting>
  <conditionalFormatting sqref="I9:J9">
    <cfRule type="duplicateValues" dxfId="154" priority="43"/>
  </conditionalFormatting>
  <conditionalFormatting sqref="L10">
    <cfRule type="duplicateValues" dxfId="153" priority="42"/>
  </conditionalFormatting>
  <conditionalFormatting sqref="J11:K11">
    <cfRule type="duplicateValues" dxfId="152" priority="41"/>
  </conditionalFormatting>
  <conditionalFormatting sqref="I12">
    <cfRule type="duplicateValues" dxfId="151" priority="40"/>
  </conditionalFormatting>
  <conditionalFormatting sqref="K13">
    <cfRule type="duplicateValues" dxfId="150" priority="39"/>
  </conditionalFormatting>
  <conditionalFormatting sqref="J14">
    <cfRule type="duplicateValues" dxfId="149" priority="38"/>
  </conditionalFormatting>
  <conditionalFormatting sqref="K15">
    <cfRule type="duplicateValues" dxfId="148" priority="37"/>
  </conditionalFormatting>
  <conditionalFormatting sqref="Q4">
    <cfRule type="duplicateValues" dxfId="147" priority="36"/>
  </conditionalFormatting>
  <conditionalFormatting sqref="P5">
    <cfRule type="duplicateValues" dxfId="146" priority="35"/>
  </conditionalFormatting>
  <conditionalFormatting sqref="M6:N6">
    <cfRule type="duplicateValues" dxfId="145" priority="34"/>
  </conditionalFormatting>
  <conditionalFormatting sqref="M8 O8">
    <cfRule type="duplicateValues" dxfId="144" priority="33"/>
  </conditionalFormatting>
  <conditionalFormatting sqref="N9 P9">
    <cfRule type="duplicateValues" dxfId="143" priority="32"/>
  </conditionalFormatting>
  <conditionalFormatting sqref="O10">
    <cfRule type="duplicateValues" dxfId="142" priority="31"/>
  </conditionalFormatting>
  <conditionalFormatting sqref="O12">
    <cfRule type="duplicateValues" dxfId="141" priority="30"/>
  </conditionalFormatting>
  <conditionalFormatting sqref="L13">
    <cfRule type="duplicateValues" dxfId="140" priority="29"/>
  </conditionalFormatting>
  <conditionalFormatting sqref="P13:Q13">
    <cfRule type="duplicateValues" dxfId="139" priority="28"/>
  </conditionalFormatting>
  <conditionalFormatting sqref="N12">
    <cfRule type="duplicateValues" dxfId="138" priority="27"/>
  </conditionalFormatting>
  <conditionalFormatting sqref="N14">
    <cfRule type="duplicateValues" dxfId="137" priority="26"/>
  </conditionalFormatting>
  <conditionalFormatting sqref="P15">
    <cfRule type="duplicateValues" dxfId="136" priority="25"/>
  </conditionalFormatting>
  <conditionalFormatting sqref="M15">
    <cfRule type="duplicateValues" dxfId="135" priority="24"/>
  </conditionalFormatting>
  <conditionalFormatting sqref="I4:L4 J14:L15 I6:L11 J5:L5 I13:L13 I12:K12">
    <cfRule type="duplicateValues" dxfId="134" priority="23"/>
  </conditionalFormatting>
  <conditionalFormatting sqref="C23">
    <cfRule type="duplicateValues" dxfId="133" priority="19"/>
  </conditionalFormatting>
  <conditionalFormatting sqref="E29">
    <cfRule type="duplicateValues" dxfId="132" priority="18"/>
  </conditionalFormatting>
  <conditionalFormatting sqref="F21">
    <cfRule type="duplicateValues" dxfId="131" priority="22"/>
  </conditionalFormatting>
  <conditionalFormatting sqref="E22">
    <cfRule type="duplicateValues" dxfId="130" priority="21"/>
  </conditionalFormatting>
  <conditionalFormatting sqref="D25">
    <cfRule type="duplicateValues" dxfId="129" priority="20"/>
  </conditionalFormatting>
  <conditionalFormatting sqref="F29">
    <cfRule type="duplicateValues" dxfId="128" priority="17"/>
  </conditionalFormatting>
  <conditionalFormatting sqref="E24">
    <cfRule type="duplicateValues" dxfId="127" priority="16"/>
  </conditionalFormatting>
  <conditionalFormatting sqref="P11">
    <cfRule type="duplicateValues" dxfId="126" priority="15"/>
  </conditionalFormatting>
  <conditionalFormatting sqref="H21:M22 H29:M31 M32 G32:K32 I28:M28 G28 H26:M27 I25:M25 H24:M24 H23:I23 K23:M23">
    <cfRule type="duplicateValues" dxfId="125" priority="14"/>
  </conditionalFormatting>
  <conditionalFormatting sqref="G22">
    <cfRule type="duplicateValues" dxfId="124" priority="13"/>
  </conditionalFormatting>
  <conditionalFormatting sqref="P21">
    <cfRule type="duplicateValues" dxfId="123" priority="12"/>
  </conditionalFormatting>
  <conditionalFormatting sqref="S23">
    <cfRule type="duplicateValues" dxfId="122" priority="11"/>
  </conditionalFormatting>
  <conditionalFormatting sqref="O21:O22">
    <cfRule type="duplicateValues" dxfId="121" priority="10"/>
  </conditionalFormatting>
  <conditionalFormatting sqref="N31:N32">
    <cfRule type="duplicateValues" dxfId="120" priority="9"/>
  </conditionalFormatting>
  <conditionalFormatting sqref="N22">
    <cfRule type="duplicateValues" dxfId="119" priority="8"/>
  </conditionalFormatting>
  <conditionalFormatting sqref="N24:O25">
    <cfRule type="duplicateValues" dxfId="118" priority="7"/>
  </conditionalFormatting>
  <conditionalFormatting sqref="N26">
    <cfRule type="duplicateValues" dxfId="117" priority="6"/>
  </conditionalFormatting>
  <conditionalFormatting sqref="O27">
    <cfRule type="duplicateValues" dxfId="116" priority="5"/>
  </conditionalFormatting>
  <conditionalFormatting sqref="N28">
    <cfRule type="duplicateValues" dxfId="115" priority="4"/>
  </conditionalFormatting>
  <conditionalFormatting sqref="O29">
    <cfRule type="duplicateValues" dxfId="114" priority="3"/>
  </conditionalFormatting>
  <conditionalFormatting sqref="O31">
    <cfRule type="duplicateValues" dxfId="113" priority="2"/>
  </conditionalFormatting>
  <conditionalFormatting sqref="G4">
    <cfRule type="duplicateValues" dxfId="112" priority="1"/>
  </conditionalFormatting>
  <pageMargins left="0.31496062992125984" right="0.31496062992125984" top="0.74803149606299213" bottom="0.74803149606299213" header="0.31496062992125984" footer="0.31496062992125984"/>
  <pageSetup paperSize="9" scale="3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X62"/>
  <sheetViews>
    <sheetView zoomScale="70" zoomScaleNormal="70" workbookViewId="0">
      <selection activeCell="H35" sqref="H35"/>
    </sheetView>
  </sheetViews>
  <sheetFormatPr defaultColWidth="10.28515625" defaultRowHeight="18.75"/>
  <cols>
    <col min="1" max="1" width="7.28515625" style="205" bestFit="1" customWidth="1"/>
    <col min="2" max="2" width="5.7109375" style="205" bestFit="1" customWidth="1"/>
    <col min="3" max="12" width="24.42578125" style="205" customWidth="1"/>
    <col min="13" max="13" width="23" style="205" bestFit="1" customWidth="1"/>
    <col min="14" max="14" width="7.28515625" style="205" bestFit="1" customWidth="1"/>
    <col min="15" max="15" width="5.7109375" style="205" bestFit="1" customWidth="1"/>
    <col min="16" max="18" width="28.7109375" style="205" customWidth="1"/>
    <col min="19" max="24" width="28.7109375" style="206" customWidth="1"/>
    <col min="25" max="16384" width="10.28515625" style="205"/>
  </cols>
  <sheetData>
    <row r="1" spans="1:24" ht="20.100000000000001" customHeight="1" thickBot="1">
      <c r="A1" s="821" t="s">
        <v>1629</v>
      </c>
      <c r="B1" s="822"/>
      <c r="C1" s="822"/>
      <c r="D1" s="822"/>
      <c r="E1" s="822"/>
      <c r="F1" s="822"/>
      <c r="G1" s="822"/>
      <c r="H1" s="822"/>
      <c r="I1" s="822"/>
      <c r="J1" s="823"/>
      <c r="N1" s="821" t="s">
        <v>1633</v>
      </c>
      <c r="O1" s="822"/>
      <c r="P1" s="822"/>
      <c r="Q1" s="822"/>
      <c r="R1" s="822"/>
      <c r="S1" s="822"/>
      <c r="T1" s="822"/>
      <c r="U1" s="822"/>
      <c r="V1" s="822"/>
      <c r="W1" s="822"/>
      <c r="X1" s="823"/>
    </row>
    <row r="2" spans="1:24" ht="20.100000000000001" customHeight="1" thickBot="1">
      <c r="A2" s="780" t="s">
        <v>1630</v>
      </c>
      <c r="B2" s="824"/>
      <c r="C2" s="824"/>
      <c r="D2" s="824"/>
      <c r="E2" s="824"/>
      <c r="F2" s="824"/>
      <c r="G2" s="824"/>
      <c r="H2" s="824"/>
      <c r="I2" s="824"/>
      <c r="J2" s="825"/>
      <c r="N2" s="821" t="s">
        <v>1632</v>
      </c>
      <c r="O2" s="822"/>
      <c r="P2" s="822"/>
      <c r="Q2" s="822"/>
      <c r="R2" s="822"/>
      <c r="S2" s="822"/>
      <c r="T2" s="822"/>
      <c r="U2" s="822"/>
      <c r="V2" s="822"/>
      <c r="W2" s="822"/>
      <c r="X2" s="823"/>
    </row>
    <row r="3" spans="1:24" ht="20.100000000000001" customHeight="1" thickBot="1">
      <c r="A3" s="826" t="s">
        <v>1312</v>
      </c>
      <c r="B3" s="827"/>
      <c r="C3" s="828" t="s">
        <v>1395</v>
      </c>
      <c r="D3" s="830" t="s">
        <v>1609</v>
      </c>
      <c r="E3" s="830" t="s">
        <v>1610</v>
      </c>
      <c r="F3" s="830" t="s">
        <v>1611</v>
      </c>
      <c r="G3" s="830" t="s">
        <v>1612</v>
      </c>
      <c r="H3" s="830" t="s">
        <v>1613</v>
      </c>
      <c r="I3" s="830" t="s">
        <v>1614</v>
      </c>
      <c r="J3" s="832" t="s">
        <v>1615</v>
      </c>
      <c r="N3" s="834"/>
      <c r="O3" s="835"/>
      <c r="P3" s="836" t="s">
        <v>1396</v>
      </c>
      <c r="Q3" s="790"/>
      <c r="R3" s="790"/>
      <c r="S3" s="790"/>
      <c r="T3" s="790"/>
      <c r="U3" s="790"/>
      <c r="V3" s="790"/>
      <c r="W3" s="790"/>
      <c r="X3" s="837"/>
    </row>
    <row r="4" spans="1:24" ht="19.5" customHeight="1" thickBot="1">
      <c r="A4" s="240" t="s">
        <v>1320</v>
      </c>
      <c r="B4" s="268" t="s">
        <v>1321</v>
      </c>
      <c r="C4" s="829"/>
      <c r="D4" s="831"/>
      <c r="E4" s="831"/>
      <c r="F4" s="831"/>
      <c r="G4" s="831"/>
      <c r="H4" s="831"/>
      <c r="I4" s="831"/>
      <c r="J4" s="833"/>
      <c r="N4" s="267" t="s">
        <v>1320</v>
      </c>
      <c r="O4" s="266" t="s">
        <v>1321</v>
      </c>
      <c r="P4" s="838"/>
      <c r="Q4" s="839"/>
      <c r="R4" s="839"/>
      <c r="S4" s="839"/>
      <c r="T4" s="839"/>
      <c r="U4" s="839"/>
      <c r="V4" s="839"/>
      <c r="W4" s="839"/>
      <c r="X4" s="840"/>
    </row>
    <row r="5" spans="1:24" ht="20.100000000000001" customHeight="1">
      <c r="A5" s="794">
        <v>115</v>
      </c>
      <c r="B5" s="238">
        <v>8</v>
      </c>
      <c r="C5" s="194" t="s">
        <v>1649</v>
      </c>
      <c r="D5" s="195" t="s">
        <v>1677</v>
      </c>
      <c r="E5" s="195" t="s">
        <v>1675</v>
      </c>
      <c r="F5" s="195" t="s">
        <v>1676</v>
      </c>
      <c r="G5" s="234"/>
      <c r="H5" s="233"/>
      <c r="I5" s="265"/>
      <c r="J5" s="196" t="s">
        <v>1678</v>
      </c>
      <c r="N5" s="794">
        <v>115</v>
      </c>
      <c r="O5" s="264">
        <v>8</v>
      </c>
      <c r="P5" s="454" t="s">
        <v>1644</v>
      </c>
      <c r="Q5" s="263" t="s">
        <v>1638</v>
      </c>
      <c r="R5" s="262" t="s">
        <v>1664</v>
      </c>
      <c r="S5" s="236" t="s">
        <v>1749</v>
      </c>
      <c r="T5" s="261" t="s">
        <v>1748</v>
      </c>
      <c r="U5" s="195" t="s">
        <v>1719</v>
      </c>
      <c r="V5" s="195" t="s">
        <v>1703</v>
      </c>
      <c r="W5" s="234"/>
      <c r="X5" s="260"/>
    </row>
    <row r="6" spans="1:24" ht="19.5" customHeight="1">
      <c r="A6" s="773"/>
      <c r="B6" s="223">
        <v>9</v>
      </c>
      <c r="C6" s="198" t="s">
        <v>1649</v>
      </c>
      <c r="D6" s="221"/>
      <c r="E6" s="58" t="s">
        <v>1727</v>
      </c>
      <c r="F6" s="220"/>
      <c r="G6" s="58" t="s">
        <v>1686</v>
      </c>
      <c r="H6" s="229"/>
      <c r="I6" s="58" t="s">
        <v>1679</v>
      </c>
      <c r="J6" s="197" t="s">
        <v>1687</v>
      </c>
      <c r="N6" s="773"/>
      <c r="O6" s="250">
        <v>9</v>
      </c>
      <c r="P6" s="295" t="s">
        <v>1660</v>
      </c>
      <c r="Q6" s="6" t="s">
        <v>1665</v>
      </c>
      <c r="R6" s="16" t="s">
        <v>1659</v>
      </c>
      <c r="S6" s="6" t="s">
        <v>1747</v>
      </c>
      <c r="T6" s="163" t="s">
        <v>1746</v>
      </c>
      <c r="U6" s="58" t="s">
        <v>1693</v>
      </c>
      <c r="V6" s="58" t="s">
        <v>1701</v>
      </c>
      <c r="W6" s="58" t="s">
        <v>1707</v>
      </c>
      <c r="X6" s="249"/>
    </row>
    <row r="7" spans="1:24" ht="20.100000000000001" customHeight="1">
      <c r="A7" s="773"/>
      <c r="B7" s="223">
        <v>10</v>
      </c>
      <c r="C7" s="198" t="s">
        <v>1649</v>
      </c>
      <c r="D7" s="58" t="s">
        <v>1689</v>
      </c>
      <c r="E7" s="229"/>
      <c r="F7" s="58" t="s">
        <v>1690</v>
      </c>
      <c r="G7" s="58" t="s">
        <v>1688</v>
      </c>
      <c r="H7" s="32" t="s">
        <v>1640</v>
      </c>
      <c r="I7" s="221"/>
      <c r="J7" s="251"/>
      <c r="N7" s="773"/>
      <c r="O7" s="250">
        <v>10</v>
      </c>
      <c r="P7" s="295" t="s">
        <v>1650</v>
      </c>
      <c r="Q7" s="58" t="s">
        <v>1687</v>
      </c>
      <c r="R7" s="6" t="s">
        <v>1745</v>
      </c>
      <c r="S7" s="58" t="s">
        <v>1717</v>
      </c>
      <c r="T7" s="58" t="s">
        <v>1676</v>
      </c>
      <c r="U7" s="58" t="s">
        <v>1723</v>
      </c>
      <c r="V7" s="6" t="s">
        <v>1829</v>
      </c>
      <c r="W7" s="221"/>
      <c r="X7" s="249"/>
    </row>
    <row r="8" spans="1:24" ht="20.100000000000001" customHeight="1">
      <c r="A8" s="773"/>
      <c r="B8" s="223">
        <v>11</v>
      </c>
      <c r="C8" s="641"/>
      <c r="D8" s="58" t="s">
        <v>1694</v>
      </c>
      <c r="E8" s="259" t="s">
        <v>1699</v>
      </c>
      <c r="F8" s="58" t="s">
        <v>1692</v>
      </c>
      <c r="G8" s="229"/>
      <c r="H8" s="32" t="s">
        <v>1640</v>
      </c>
      <c r="I8" s="58" t="s">
        <v>1695</v>
      </c>
      <c r="J8" s="197" t="s">
        <v>1693</v>
      </c>
      <c r="N8" s="773"/>
      <c r="O8" s="250">
        <v>11</v>
      </c>
      <c r="P8" s="295" t="s">
        <v>1666</v>
      </c>
      <c r="Q8" s="6" t="s">
        <v>1661</v>
      </c>
      <c r="R8" s="58" t="s">
        <v>1688</v>
      </c>
      <c r="S8" s="58" t="s">
        <v>1744</v>
      </c>
      <c r="T8" s="58" t="s">
        <v>1710</v>
      </c>
      <c r="U8" s="58" t="s">
        <v>1700</v>
      </c>
      <c r="V8" s="58" t="s">
        <v>1712</v>
      </c>
      <c r="W8" s="6" t="s">
        <v>1828</v>
      </c>
      <c r="X8" s="249"/>
    </row>
    <row r="9" spans="1:24" ht="20.100000000000001" customHeight="1">
      <c r="A9" s="773"/>
      <c r="B9" s="223">
        <v>12</v>
      </c>
      <c r="C9" s="641"/>
      <c r="D9" s="221"/>
      <c r="E9" s="58" t="s">
        <v>1698</v>
      </c>
      <c r="F9" s="229"/>
      <c r="G9" s="229"/>
      <c r="H9" s="32" t="s">
        <v>1640</v>
      </c>
      <c r="I9" s="58" t="s">
        <v>1697</v>
      </c>
      <c r="J9" s="197" t="s">
        <v>1696</v>
      </c>
      <c r="N9" s="773"/>
      <c r="O9" s="250">
        <v>12</v>
      </c>
      <c r="P9" s="295" t="s">
        <v>1669</v>
      </c>
      <c r="Q9" s="6" t="s">
        <v>1671</v>
      </c>
      <c r="R9" s="6" t="s">
        <v>1670</v>
      </c>
      <c r="S9" s="11" t="s">
        <v>1647</v>
      </c>
      <c r="T9" s="58" t="s">
        <v>1695</v>
      </c>
      <c r="U9" s="58" t="s">
        <v>1702</v>
      </c>
      <c r="V9" s="294"/>
      <c r="W9" s="221"/>
      <c r="X9" s="249"/>
    </row>
    <row r="10" spans="1:24" ht="20.100000000000001" customHeight="1">
      <c r="A10" s="773">
        <v>116</v>
      </c>
      <c r="B10" s="257">
        <v>1</v>
      </c>
      <c r="C10" s="641"/>
      <c r="D10" s="58" t="s">
        <v>1700</v>
      </c>
      <c r="E10" s="221"/>
      <c r="F10" s="58" t="s">
        <v>1702</v>
      </c>
      <c r="G10" s="58" t="s">
        <v>1703</v>
      </c>
      <c r="H10" s="32" t="s">
        <v>1640</v>
      </c>
      <c r="I10" s="58" t="s">
        <v>1701</v>
      </c>
      <c r="J10" s="642"/>
      <c r="N10" s="773">
        <v>116</v>
      </c>
      <c r="O10" s="250">
        <v>1</v>
      </c>
      <c r="P10" s="295" t="s">
        <v>1646</v>
      </c>
      <c r="Q10" s="6" t="s">
        <v>1662</v>
      </c>
      <c r="R10" s="6" t="s">
        <v>1672</v>
      </c>
      <c r="S10" s="16" t="s">
        <v>1656</v>
      </c>
      <c r="T10" s="58" t="s">
        <v>1706</v>
      </c>
      <c r="U10" s="58" t="s">
        <v>1705</v>
      </c>
      <c r="V10" s="58" t="s">
        <v>1698</v>
      </c>
      <c r="W10" s="294"/>
      <c r="X10" s="249"/>
    </row>
    <row r="11" spans="1:24" ht="20.100000000000001" customHeight="1">
      <c r="A11" s="773"/>
      <c r="B11" s="257">
        <v>2</v>
      </c>
      <c r="C11" s="641"/>
      <c r="D11" s="58" t="s">
        <v>1705</v>
      </c>
      <c r="E11" s="58" t="s">
        <v>1706</v>
      </c>
      <c r="F11" s="58" t="s">
        <v>1707</v>
      </c>
      <c r="G11" s="221"/>
      <c r="H11" s="32" t="s">
        <v>1649</v>
      </c>
      <c r="I11" s="220"/>
      <c r="J11" s="200" t="s">
        <v>1704</v>
      </c>
      <c r="N11" s="773"/>
      <c r="O11" s="250">
        <v>2</v>
      </c>
      <c r="P11" s="295" t="s">
        <v>1654</v>
      </c>
      <c r="Q11" s="16" t="s">
        <v>1743</v>
      </c>
      <c r="R11" s="16" t="s">
        <v>1741</v>
      </c>
      <c r="S11" s="58" t="s">
        <v>1742</v>
      </c>
      <c r="T11" s="58" t="s">
        <v>1696</v>
      </c>
      <c r="U11" s="58" t="s">
        <v>1677</v>
      </c>
      <c r="V11" s="58" t="s">
        <v>1711</v>
      </c>
      <c r="W11" s="58" t="s">
        <v>1715</v>
      </c>
      <c r="X11" s="200" t="s">
        <v>1827</v>
      </c>
    </row>
    <row r="12" spans="1:24" ht="20.100000000000001" customHeight="1">
      <c r="A12" s="773"/>
      <c r="B12" s="256">
        <v>3</v>
      </c>
      <c r="C12" s="641"/>
      <c r="D12" s="58" t="s">
        <v>1709</v>
      </c>
      <c r="E12" s="58" t="s">
        <v>1710</v>
      </c>
      <c r="F12" s="229"/>
      <c r="G12" s="634" t="s">
        <v>1713</v>
      </c>
      <c r="H12" s="32" t="s">
        <v>1649</v>
      </c>
      <c r="I12" s="58" t="s">
        <v>1712</v>
      </c>
      <c r="J12" s="197" t="s">
        <v>1711</v>
      </c>
      <c r="K12" s="255"/>
      <c r="N12" s="773"/>
      <c r="O12" s="250">
        <v>3</v>
      </c>
      <c r="P12" s="329" t="s">
        <v>1648</v>
      </c>
      <c r="Q12" s="58" t="s">
        <v>1689</v>
      </c>
      <c r="R12" s="15" t="s">
        <v>1640</v>
      </c>
      <c r="S12" s="58" t="s">
        <v>1714</v>
      </c>
      <c r="T12" s="58" t="s">
        <v>1675</v>
      </c>
      <c r="U12" s="58" t="s">
        <v>1679</v>
      </c>
      <c r="V12" s="253"/>
      <c r="W12" s="221"/>
      <c r="X12" s="310"/>
    </row>
    <row r="13" spans="1:24" ht="20.100000000000001" customHeight="1">
      <c r="A13" s="773"/>
      <c r="B13" s="223">
        <v>4</v>
      </c>
      <c r="C13" s="641"/>
      <c r="D13" s="229"/>
      <c r="E13" s="227"/>
      <c r="F13" s="58" t="s">
        <v>1714</v>
      </c>
      <c r="G13" s="221"/>
      <c r="H13" s="32" t="s">
        <v>1649</v>
      </c>
      <c r="I13" s="58" t="s">
        <v>1716</v>
      </c>
      <c r="J13" s="197" t="s">
        <v>1715</v>
      </c>
      <c r="N13" s="773"/>
      <c r="O13" s="250">
        <v>4</v>
      </c>
      <c r="P13" s="295" t="s">
        <v>1637</v>
      </c>
      <c r="Q13" s="6" t="s">
        <v>1667</v>
      </c>
      <c r="R13" s="16" t="s">
        <v>1740</v>
      </c>
      <c r="S13" s="58" t="s">
        <v>1697</v>
      </c>
      <c r="T13" s="58" t="s">
        <v>1722</v>
      </c>
      <c r="U13" s="58" t="s">
        <v>1720</v>
      </c>
      <c r="V13" s="221"/>
      <c r="W13" s="221"/>
      <c r="X13" s="249"/>
    </row>
    <row r="14" spans="1:24" ht="20.100000000000001" customHeight="1">
      <c r="A14" s="773"/>
      <c r="B14" s="223">
        <v>5</v>
      </c>
      <c r="C14" s="198" t="s">
        <v>1640</v>
      </c>
      <c r="D14" s="58" t="s">
        <v>1717</v>
      </c>
      <c r="E14" s="58" t="s">
        <v>1718</v>
      </c>
      <c r="F14" s="220"/>
      <c r="G14" s="229"/>
      <c r="H14" s="32" t="s">
        <v>1649</v>
      </c>
      <c r="I14" s="227"/>
      <c r="J14" s="642"/>
      <c r="N14" s="773"/>
      <c r="O14" s="250">
        <v>5</v>
      </c>
      <c r="P14" s="295" t="s">
        <v>1645</v>
      </c>
      <c r="Q14" s="6" t="s">
        <v>1673</v>
      </c>
      <c r="R14" s="6" t="s">
        <v>1739</v>
      </c>
      <c r="S14" s="31" t="s">
        <v>1674</v>
      </c>
      <c r="T14" s="58" t="s">
        <v>1709</v>
      </c>
      <c r="U14" s="58" t="s">
        <v>1690</v>
      </c>
      <c r="V14" s="58" t="s">
        <v>1678</v>
      </c>
      <c r="W14" s="221"/>
      <c r="X14" s="249"/>
    </row>
    <row r="15" spans="1:24" ht="20.100000000000001" customHeight="1">
      <c r="A15" s="773"/>
      <c r="B15" s="223">
        <v>6</v>
      </c>
      <c r="C15" s="198" t="s">
        <v>1640</v>
      </c>
      <c r="D15" s="221"/>
      <c r="E15" s="229"/>
      <c r="F15" s="58" t="s">
        <v>1719</v>
      </c>
      <c r="G15" s="58" t="s">
        <v>1720</v>
      </c>
      <c r="H15" s="229"/>
      <c r="I15" s="58" t="s">
        <v>1721</v>
      </c>
      <c r="J15" s="251"/>
      <c r="N15" s="773"/>
      <c r="O15" s="250">
        <v>6</v>
      </c>
      <c r="P15" s="295" t="s">
        <v>1639</v>
      </c>
      <c r="Q15" s="6" t="s">
        <v>1653</v>
      </c>
      <c r="R15" s="6" t="s">
        <v>1738</v>
      </c>
      <c r="S15" s="6" t="s">
        <v>1737</v>
      </c>
      <c r="T15" s="31" t="s">
        <v>1736</v>
      </c>
      <c r="U15" s="58" t="s">
        <v>1694</v>
      </c>
      <c r="V15" s="58" t="s">
        <v>1724</v>
      </c>
      <c r="W15" s="221"/>
      <c r="X15" s="249"/>
    </row>
    <row r="16" spans="1:24" ht="20.100000000000001" customHeight="1" thickBot="1">
      <c r="A16" s="774"/>
      <c r="B16" s="216">
        <v>7</v>
      </c>
      <c r="C16" s="643" t="s">
        <v>1640</v>
      </c>
      <c r="D16" s="202" t="s">
        <v>1723</v>
      </c>
      <c r="E16" s="202" t="s">
        <v>1722</v>
      </c>
      <c r="F16" s="248"/>
      <c r="G16" s="248"/>
      <c r="H16" s="214"/>
      <c r="I16" s="214"/>
      <c r="J16" s="332" t="s">
        <v>1724</v>
      </c>
      <c r="N16" s="774"/>
      <c r="O16" s="247">
        <v>7</v>
      </c>
      <c r="P16" s="289" t="s">
        <v>1651</v>
      </c>
      <c r="Q16" s="213" t="s">
        <v>1735</v>
      </c>
      <c r="R16" s="245" t="s">
        <v>1649</v>
      </c>
      <c r="S16" s="202" t="s">
        <v>1692</v>
      </c>
      <c r="T16" s="202" t="s">
        <v>1718</v>
      </c>
      <c r="U16" s="202" t="s">
        <v>1727</v>
      </c>
      <c r="V16" s="244"/>
      <c r="W16" s="244"/>
      <c r="X16" s="243"/>
    </row>
    <row r="17" spans="1:13" ht="20.100000000000001" customHeight="1">
      <c r="D17" s="242"/>
      <c r="E17" s="242"/>
      <c r="F17" s="242"/>
      <c r="G17" s="242"/>
      <c r="L17" s="242"/>
      <c r="M17" s="242"/>
    </row>
    <row r="18" spans="1:13" ht="20.100000000000001" customHeight="1" thickBot="1">
      <c r="J18" s="242"/>
      <c r="K18" s="242"/>
      <c r="L18" s="242"/>
      <c r="M18" s="242"/>
    </row>
    <row r="19" spans="1:13" ht="20.100000000000001" customHeight="1" thickBot="1">
      <c r="A19" s="821" t="s">
        <v>1631</v>
      </c>
      <c r="B19" s="822"/>
      <c r="C19" s="822"/>
      <c r="D19" s="822"/>
      <c r="E19" s="822"/>
      <c r="F19" s="822"/>
      <c r="G19" s="822"/>
      <c r="H19" s="822"/>
      <c r="I19" s="822"/>
      <c r="J19" s="822"/>
      <c r="K19" s="822"/>
      <c r="L19" s="822"/>
      <c r="M19" s="241"/>
    </row>
    <row r="20" spans="1:13" ht="20.100000000000001" customHeight="1" thickBot="1">
      <c r="A20" s="821" t="s">
        <v>1632</v>
      </c>
      <c r="B20" s="822"/>
      <c r="C20" s="822"/>
      <c r="D20" s="822"/>
      <c r="E20" s="822"/>
      <c r="F20" s="822"/>
      <c r="G20" s="822"/>
      <c r="H20" s="822"/>
      <c r="I20" s="822"/>
      <c r="J20" s="822"/>
      <c r="K20" s="822"/>
      <c r="L20" s="822"/>
      <c r="M20" s="241"/>
    </row>
    <row r="21" spans="1:13" ht="20.100000000000001" customHeight="1">
      <c r="A21" s="826" t="s">
        <v>1312</v>
      </c>
      <c r="B21" s="845"/>
      <c r="C21" s="810" t="s">
        <v>1397</v>
      </c>
      <c r="D21" s="830" t="s">
        <v>1616</v>
      </c>
      <c r="E21" s="830" t="s">
        <v>1617</v>
      </c>
      <c r="F21" s="830" t="s">
        <v>1618</v>
      </c>
      <c r="G21" s="830" t="s">
        <v>1619</v>
      </c>
      <c r="H21" s="830" t="s">
        <v>1620</v>
      </c>
      <c r="I21" s="830" t="s">
        <v>1621</v>
      </c>
      <c r="J21" s="830" t="s">
        <v>1622</v>
      </c>
      <c r="K21" s="830" t="s">
        <v>1623</v>
      </c>
      <c r="L21" s="841" t="s">
        <v>1624</v>
      </c>
      <c r="M21" s="843" t="s">
        <v>1625</v>
      </c>
    </row>
    <row r="22" spans="1:13" ht="20.100000000000001" customHeight="1" thickBot="1">
      <c r="A22" s="240" t="s">
        <v>1320</v>
      </c>
      <c r="B22" s="239" t="s">
        <v>1321</v>
      </c>
      <c r="C22" s="846"/>
      <c r="D22" s="831"/>
      <c r="E22" s="831"/>
      <c r="F22" s="831"/>
      <c r="G22" s="831"/>
      <c r="H22" s="831"/>
      <c r="I22" s="831"/>
      <c r="J22" s="831"/>
      <c r="K22" s="831"/>
      <c r="L22" s="842"/>
      <c r="M22" s="844"/>
    </row>
    <row r="23" spans="1:13" ht="20.100000000000001" customHeight="1">
      <c r="A23" s="794">
        <v>115</v>
      </c>
      <c r="B23" s="238">
        <v>8</v>
      </c>
      <c r="C23" s="237"/>
      <c r="D23" s="195" t="s">
        <v>1693</v>
      </c>
      <c r="E23" s="195" t="s">
        <v>1697</v>
      </c>
      <c r="F23" s="236" t="s">
        <v>1734</v>
      </c>
      <c r="G23" s="195" t="s">
        <v>1690</v>
      </c>
      <c r="H23" s="195" t="s">
        <v>1721</v>
      </c>
      <c r="I23" s="234"/>
      <c r="J23" s="235"/>
      <c r="K23" s="234"/>
      <c r="L23" s="233"/>
      <c r="M23" s="232" t="s">
        <v>1729</v>
      </c>
    </row>
    <row r="24" spans="1:13" ht="20.100000000000001" customHeight="1">
      <c r="A24" s="773"/>
      <c r="B24" s="223">
        <v>9</v>
      </c>
      <c r="C24" s="222" t="s">
        <v>1664</v>
      </c>
      <c r="D24" s="58" t="s">
        <v>1733</v>
      </c>
      <c r="E24" s="219"/>
      <c r="F24" s="220"/>
      <c r="G24" s="218"/>
      <c r="H24" s="229"/>
      <c r="I24" s="219"/>
      <c r="J24" s="58" t="s">
        <v>1678</v>
      </c>
      <c r="K24" s="58" t="s">
        <v>1723</v>
      </c>
      <c r="L24" s="58" t="s">
        <v>1677</v>
      </c>
      <c r="M24" s="225"/>
    </row>
    <row r="25" spans="1:13" ht="20.100000000000001" customHeight="1">
      <c r="A25" s="773"/>
      <c r="B25" s="223">
        <v>10</v>
      </c>
      <c r="C25" s="222" t="s">
        <v>1664</v>
      </c>
      <c r="D25" s="219"/>
      <c r="E25" s="58" t="s">
        <v>1714</v>
      </c>
      <c r="F25" s="58" t="s">
        <v>1679</v>
      </c>
      <c r="G25" s="58" t="s">
        <v>1712</v>
      </c>
      <c r="H25" s="220"/>
      <c r="I25" s="218"/>
      <c r="J25" s="218"/>
      <c r="K25" s="231"/>
      <c r="L25" s="219"/>
      <c r="M25" s="225"/>
    </row>
    <row r="26" spans="1:13">
      <c r="A26" s="773"/>
      <c r="B26" s="223">
        <v>11</v>
      </c>
      <c r="C26" s="222" t="s">
        <v>1664</v>
      </c>
      <c r="D26" s="219"/>
      <c r="E26" s="229"/>
      <c r="F26" s="219"/>
      <c r="G26" s="6" t="s">
        <v>1732</v>
      </c>
      <c r="H26" s="58" t="s">
        <v>1698</v>
      </c>
      <c r="I26" s="58" t="s">
        <v>1715</v>
      </c>
      <c r="J26" s="221"/>
      <c r="K26" s="221"/>
      <c r="L26" s="226"/>
      <c r="M26" s="225"/>
    </row>
    <row r="27" spans="1:13" ht="20.100000000000001" customHeight="1">
      <c r="A27" s="773"/>
      <c r="B27" s="223">
        <v>12</v>
      </c>
      <c r="C27" s="230"/>
      <c r="D27" s="221"/>
      <c r="E27" s="221"/>
      <c r="F27" s="221"/>
      <c r="G27" s="229"/>
      <c r="I27" s="6" t="s">
        <v>1731</v>
      </c>
      <c r="J27" s="58" t="s">
        <v>1705</v>
      </c>
      <c r="K27" s="58" t="s">
        <v>1700</v>
      </c>
      <c r="L27" s="58" t="s">
        <v>1701</v>
      </c>
      <c r="M27" s="160" t="s">
        <v>1729</v>
      </c>
    </row>
    <row r="28" spans="1:13">
      <c r="A28" s="773">
        <v>116</v>
      </c>
      <c r="B28" s="223">
        <v>1</v>
      </c>
      <c r="C28" s="228"/>
      <c r="D28" s="58" t="s">
        <v>1718</v>
      </c>
      <c r="E28" s="58" t="s">
        <v>1696</v>
      </c>
      <c r="F28" s="58" t="s">
        <v>1710</v>
      </c>
      <c r="G28" s="219"/>
      <c r="H28" s="221"/>
      <c r="I28" s="218"/>
      <c r="J28" s="221"/>
      <c r="K28" s="221"/>
      <c r="L28" s="226"/>
      <c r="M28" s="160" t="s">
        <v>1729</v>
      </c>
    </row>
    <row r="29" spans="1:13" ht="20.100000000000001" customHeight="1">
      <c r="A29" s="773"/>
      <c r="B29" s="223">
        <v>2</v>
      </c>
      <c r="C29" s="228"/>
      <c r="D29" s="221"/>
      <c r="E29" s="229"/>
      <c r="F29" s="229"/>
      <c r="G29" s="227"/>
      <c r="I29" s="6" t="s">
        <v>1730</v>
      </c>
      <c r="J29" s="58" t="s">
        <v>1675</v>
      </c>
      <c r="K29" s="58" t="s">
        <v>1703</v>
      </c>
      <c r="L29" s="58" t="s">
        <v>1709</v>
      </c>
      <c r="M29" s="160" t="s">
        <v>1729</v>
      </c>
    </row>
    <row r="30" spans="1:13" ht="20.100000000000001" customHeight="1">
      <c r="A30" s="773"/>
      <c r="B30" s="223">
        <v>3</v>
      </c>
      <c r="C30" s="228"/>
      <c r="D30" s="6" t="s">
        <v>1728</v>
      </c>
      <c r="E30" s="58" t="s">
        <v>1706</v>
      </c>
      <c r="F30" s="58" t="s">
        <v>1694</v>
      </c>
      <c r="G30" s="58" t="s">
        <v>1707</v>
      </c>
      <c r="H30" s="58" t="s">
        <v>1724</v>
      </c>
      <c r="I30" s="220"/>
      <c r="J30" s="227"/>
      <c r="K30" s="221"/>
      <c r="L30" s="221"/>
      <c r="M30" s="225"/>
    </row>
    <row r="31" spans="1:13" ht="20.100000000000001" customHeight="1">
      <c r="A31" s="773"/>
      <c r="B31" s="223">
        <v>4</v>
      </c>
      <c r="C31" s="222" t="s">
        <v>1664</v>
      </c>
      <c r="D31" s="226"/>
      <c r="E31" s="221"/>
      <c r="F31" s="226"/>
      <c r="G31" s="221"/>
      <c r="H31" s="220"/>
      <c r="I31" s="220"/>
      <c r="J31" s="58" t="s">
        <v>1695</v>
      </c>
      <c r="K31" s="58" t="s">
        <v>1711</v>
      </c>
      <c r="L31" s="219"/>
      <c r="M31" s="225"/>
    </row>
    <row r="32" spans="1:13" ht="20.100000000000001" customHeight="1">
      <c r="A32" s="773"/>
      <c r="B32" s="223">
        <v>5</v>
      </c>
      <c r="C32" s="222" t="s">
        <v>1664</v>
      </c>
      <c r="D32" s="221"/>
      <c r="E32" s="58" t="s">
        <v>1722</v>
      </c>
      <c r="F32" s="58" t="s">
        <v>1727</v>
      </c>
      <c r="G32" s="219"/>
      <c r="H32" s="58" t="s">
        <v>1721</v>
      </c>
      <c r="I32" s="221"/>
      <c r="J32" s="224"/>
      <c r="K32" s="218"/>
      <c r="L32" s="219"/>
      <c r="M32" s="217"/>
    </row>
    <row r="33" spans="1:13" ht="18.75" customHeight="1">
      <c r="A33" s="773"/>
      <c r="B33" s="223">
        <v>6</v>
      </c>
      <c r="C33" s="222" t="s">
        <v>1664</v>
      </c>
      <c r="D33" s="221"/>
      <c r="E33" s="220"/>
      <c r="F33" s="219"/>
      <c r="G33" s="220"/>
      <c r="H33" s="219"/>
      <c r="I33" s="218"/>
      <c r="J33" s="58" t="s">
        <v>1692</v>
      </c>
      <c r="K33" s="58" t="s">
        <v>1676</v>
      </c>
      <c r="L33" s="58" t="s">
        <v>1702</v>
      </c>
      <c r="M33" s="217"/>
    </row>
    <row r="34" spans="1:13" ht="20.100000000000001" customHeight="1" thickBot="1">
      <c r="A34" s="774"/>
      <c r="B34" s="216">
        <v>7</v>
      </c>
      <c r="C34" s="215" t="s">
        <v>1664</v>
      </c>
      <c r="D34" s="202" t="s">
        <v>1719</v>
      </c>
      <c r="E34" s="214"/>
      <c r="F34" s="211"/>
      <c r="G34" s="213" t="s">
        <v>1726</v>
      </c>
      <c r="H34" s="202" t="s">
        <v>1720</v>
      </c>
      <c r="I34" s="202" t="s">
        <v>1717</v>
      </c>
      <c r="J34" s="212"/>
      <c r="K34" s="211"/>
      <c r="L34" s="210"/>
      <c r="M34" s="209"/>
    </row>
    <row r="35" spans="1:13">
      <c r="M35" s="208"/>
    </row>
    <row r="62" spans="8:10">
      <c r="H62" s="207" t="s">
        <v>1626</v>
      </c>
      <c r="I62" s="207" t="s">
        <v>1627</v>
      </c>
      <c r="J62" s="207" t="s">
        <v>1628</v>
      </c>
    </row>
  </sheetData>
  <mergeCells count="35">
    <mergeCell ref="A23:A27"/>
    <mergeCell ref="A28:A34"/>
    <mergeCell ref="H21:H22"/>
    <mergeCell ref="I21:I22"/>
    <mergeCell ref="J21:J22"/>
    <mergeCell ref="F21:F22"/>
    <mergeCell ref="G21:G22"/>
    <mergeCell ref="A5:A9"/>
    <mergeCell ref="N5:N9"/>
    <mergeCell ref="L21:L22"/>
    <mergeCell ref="M21:M22"/>
    <mergeCell ref="A10:A16"/>
    <mergeCell ref="N10:N16"/>
    <mergeCell ref="A19:L19"/>
    <mergeCell ref="A20:L20"/>
    <mergeCell ref="A21:B21"/>
    <mergeCell ref="C21:C22"/>
    <mergeCell ref="D21:D22"/>
    <mergeCell ref="E21:E22"/>
    <mergeCell ref="K21:K22"/>
    <mergeCell ref="A1:J1"/>
    <mergeCell ref="N1:X1"/>
    <mergeCell ref="A2:J2"/>
    <mergeCell ref="N2:X2"/>
    <mergeCell ref="A3:B3"/>
    <mergeCell ref="C3:C4"/>
    <mergeCell ref="D3:D4"/>
    <mergeCell ref="E3:E4"/>
    <mergeCell ref="F3:F4"/>
    <mergeCell ref="G3:G4"/>
    <mergeCell ref="H3:H4"/>
    <mergeCell ref="I3:I4"/>
    <mergeCell ref="J3:J4"/>
    <mergeCell ref="N3:O3"/>
    <mergeCell ref="P3:X4"/>
  </mergeCells>
  <phoneticPr fontId="5" type="noConversion"/>
  <conditionalFormatting sqref="E5">
    <cfRule type="duplicateValues" dxfId="111" priority="44"/>
  </conditionalFormatting>
  <conditionalFormatting sqref="F5">
    <cfRule type="duplicateValues" dxfId="110" priority="43"/>
  </conditionalFormatting>
  <conditionalFormatting sqref="D5">
    <cfRule type="duplicateValues" dxfId="109" priority="42"/>
  </conditionalFormatting>
  <conditionalFormatting sqref="J5">
    <cfRule type="duplicateValues" dxfId="108" priority="41"/>
  </conditionalFormatting>
  <conditionalFormatting sqref="I6">
    <cfRule type="duplicateValues" dxfId="107" priority="39"/>
  </conditionalFormatting>
  <conditionalFormatting sqref="J6">
    <cfRule type="duplicateValues" dxfId="106" priority="38"/>
  </conditionalFormatting>
  <conditionalFormatting sqref="G6">
    <cfRule type="duplicateValues" dxfId="105" priority="37"/>
  </conditionalFormatting>
  <conditionalFormatting sqref="G7">
    <cfRule type="duplicateValues" dxfId="104" priority="36"/>
  </conditionalFormatting>
  <conditionalFormatting sqref="D7">
    <cfRule type="duplicateValues" dxfId="103" priority="35"/>
  </conditionalFormatting>
  <conditionalFormatting sqref="F7">
    <cfRule type="duplicateValues" dxfId="102" priority="34"/>
  </conditionalFormatting>
  <conditionalFormatting sqref="I10 D10 F10:G10">
    <cfRule type="duplicateValues" dxfId="101" priority="32"/>
  </conditionalFormatting>
  <conditionalFormatting sqref="D11:F11">
    <cfRule type="duplicateValues" dxfId="100" priority="31"/>
  </conditionalFormatting>
  <conditionalFormatting sqref="I12:J12 D12:E12">
    <cfRule type="duplicateValues" dxfId="99" priority="30"/>
  </conditionalFormatting>
  <conditionalFormatting sqref="I13:J13 F13">
    <cfRule type="duplicateValues" dxfId="98" priority="29"/>
  </conditionalFormatting>
  <conditionalFormatting sqref="F15:G15 I15">
    <cfRule type="duplicateValues" dxfId="97" priority="28"/>
  </conditionalFormatting>
  <conditionalFormatting sqref="J16 D16:E16">
    <cfRule type="duplicateValues" dxfId="96" priority="27"/>
  </conditionalFormatting>
  <conditionalFormatting sqref="D14:E14">
    <cfRule type="duplicateValues" dxfId="95" priority="46"/>
  </conditionalFormatting>
  <conditionalFormatting sqref="D24">
    <cfRule type="duplicateValues" dxfId="94" priority="26"/>
  </conditionalFormatting>
  <conditionalFormatting sqref="G23:H23 D23:E23">
    <cfRule type="duplicateValues" dxfId="93" priority="47"/>
  </conditionalFormatting>
  <conditionalFormatting sqref="J24:L24">
    <cfRule type="duplicateValues" dxfId="92" priority="25"/>
  </conditionalFormatting>
  <conditionalFormatting sqref="E25:G25">
    <cfRule type="duplicateValues" dxfId="91" priority="48"/>
  </conditionalFormatting>
  <conditionalFormatting sqref="H26:I26">
    <cfRule type="duplicateValues" dxfId="90" priority="24"/>
  </conditionalFormatting>
  <conditionalFormatting sqref="J27:L27">
    <cfRule type="duplicateValues" dxfId="89" priority="23"/>
  </conditionalFormatting>
  <conditionalFormatting sqref="D28:F28">
    <cfRule type="duplicateValues" dxfId="88" priority="22"/>
  </conditionalFormatting>
  <conditionalFormatting sqref="K29">
    <cfRule type="duplicateValues" dxfId="87" priority="19"/>
  </conditionalFormatting>
  <conditionalFormatting sqref="J29">
    <cfRule type="duplicateValues" dxfId="86" priority="21"/>
  </conditionalFormatting>
  <conditionalFormatting sqref="L29">
    <cfRule type="duplicateValues" dxfId="85" priority="20"/>
  </conditionalFormatting>
  <conditionalFormatting sqref="E30:H30">
    <cfRule type="duplicateValues" dxfId="84" priority="18"/>
  </conditionalFormatting>
  <conditionalFormatting sqref="J31:K31">
    <cfRule type="duplicateValues" dxfId="83" priority="49"/>
  </conditionalFormatting>
  <conditionalFormatting sqref="H32 E32:F32">
    <cfRule type="duplicateValues" dxfId="82" priority="17"/>
  </conditionalFormatting>
  <conditionalFormatting sqref="J33:L33">
    <cfRule type="duplicateValues" dxfId="81" priority="16"/>
  </conditionalFormatting>
  <conditionalFormatting sqref="D34 H34:I34">
    <cfRule type="duplicateValues" dxfId="80" priority="50"/>
  </conditionalFormatting>
  <conditionalFormatting sqref="R8:S8">
    <cfRule type="duplicateValues" dxfId="79" priority="15"/>
  </conditionalFormatting>
  <conditionalFormatting sqref="Q7">
    <cfRule type="duplicateValues" dxfId="78" priority="14"/>
  </conditionalFormatting>
  <conditionalFormatting sqref="S11">
    <cfRule type="duplicateValues" dxfId="77" priority="13"/>
  </conditionalFormatting>
  <conditionalFormatting sqref="Q12">
    <cfRule type="duplicateValues" dxfId="76" priority="12"/>
  </conditionalFormatting>
  <conditionalFormatting sqref="U5:V5">
    <cfRule type="duplicateValues" dxfId="75" priority="11"/>
  </conditionalFormatting>
  <conditionalFormatting sqref="U6:W6">
    <cfRule type="duplicateValues" dxfId="74" priority="10"/>
  </conditionalFormatting>
  <conditionalFormatting sqref="U7 S7">
    <cfRule type="duplicateValues" dxfId="73" priority="9"/>
  </conditionalFormatting>
  <conditionalFormatting sqref="T7">
    <cfRule type="duplicateValues" dxfId="72" priority="8"/>
  </conditionalFormatting>
  <conditionalFormatting sqref="T8:V8">
    <cfRule type="duplicateValues" dxfId="71" priority="51"/>
  </conditionalFormatting>
  <conditionalFormatting sqref="T9:U9">
    <cfRule type="duplicateValues" dxfId="70" priority="7"/>
  </conditionalFormatting>
  <conditionalFormatting sqref="T10:V10">
    <cfRule type="duplicateValues" dxfId="69" priority="6"/>
  </conditionalFormatting>
  <conditionalFormatting sqref="T11:W11">
    <cfRule type="duplicateValues" dxfId="68" priority="52"/>
  </conditionalFormatting>
  <conditionalFormatting sqref="S12:U12">
    <cfRule type="duplicateValues" dxfId="67" priority="5"/>
  </conditionalFormatting>
  <conditionalFormatting sqref="S13:U13">
    <cfRule type="duplicateValues" dxfId="66" priority="4"/>
  </conditionalFormatting>
  <conditionalFormatting sqref="T14:V14">
    <cfRule type="duplicateValues" dxfId="65" priority="53"/>
  </conditionalFormatting>
  <conditionalFormatting sqref="U15:V15">
    <cfRule type="duplicateValues" dxfId="64" priority="54"/>
  </conditionalFormatting>
  <conditionalFormatting sqref="S16:U16">
    <cfRule type="duplicateValues" dxfId="63" priority="3"/>
  </conditionalFormatting>
  <conditionalFormatting sqref="E9 I9:J9">
    <cfRule type="duplicateValues" dxfId="62" priority="120"/>
  </conditionalFormatting>
  <conditionalFormatting sqref="E6">
    <cfRule type="duplicateValues" dxfId="61" priority="1"/>
  </conditionalFormatting>
  <conditionalFormatting sqref="D8 F8 I8:J8">
    <cfRule type="duplicateValues" dxfId="60" priority="12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T31"/>
  <sheetViews>
    <sheetView zoomScale="70" zoomScaleNormal="70" workbookViewId="0">
      <selection activeCell="F24" sqref="F24"/>
    </sheetView>
  </sheetViews>
  <sheetFormatPr defaultColWidth="23.5703125" defaultRowHeight="18.75"/>
  <cols>
    <col min="1" max="1" width="7.28515625" style="206" bestFit="1" customWidth="1"/>
    <col min="2" max="2" width="6.7109375" style="206" customWidth="1"/>
    <col min="3" max="17" width="28.7109375" style="206" customWidth="1"/>
    <col min="18" max="18" width="28.85546875" style="206" customWidth="1"/>
    <col min="19" max="22" width="17.85546875" style="206" customWidth="1"/>
    <col min="23" max="16384" width="23.5703125" style="206"/>
  </cols>
  <sheetData>
    <row r="1" spans="1:20" ht="20.100000000000001" customHeight="1" thickBot="1">
      <c r="A1" s="818" t="s">
        <v>1607</v>
      </c>
      <c r="B1" s="819"/>
      <c r="C1" s="819"/>
      <c r="D1" s="819"/>
      <c r="E1" s="819"/>
      <c r="F1" s="819"/>
      <c r="G1" s="819"/>
      <c r="H1" s="819"/>
      <c r="I1" s="819"/>
      <c r="J1" s="819"/>
      <c r="K1" s="819"/>
      <c r="L1" s="819"/>
      <c r="M1" s="819"/>
      <c r="N1" s="819"/>
      <c r="O1" s="819"/>
      <c r="P1" s="819"/>
      <c r="Q1" s="820"/>
    </row>
    <row r="2" spans="1:20" ht="20.100000000000001" customHeight="1" thickBot="1">
      <c r="A2" s="794" t="s">
        <v>1368</v>
      </c>
      <c r="B2" s="832" t="s">
        <v>1321</v>
      </c>
      <c r="C2" s="818" t="s">
        <v>43</v>
      </c>
      <c r="D2" s="819"/>
      <c r="E2" s="819"/>
      <c r="F2" s="819"/>
      <c r="G2" s="848"/>
      <c r="H2" s="818" t="s">
        <v>116</v>
      </c>
      <c r="I2" s="820"/>
      <c r="J2" s="849" t="s">
        <v>22</v>
      </c>
      <c r="K2" s="850"/>
      <c r="L2" s="851"/>
      <c r="M2" s="852" t="s">
        <v>52</v>
      </c>
      <c r="N2" s="850"/>
      <c r="O2" s="850"/>
      <c r="P2" s="853"/>
      <c r="Q2" s="543" t="s">
        <v>64</v>
      </c>
    </row>
    <row r="3" spans="1:20" ht="20.100000000000001" customHeight="1" thickBot="1">
      <c r="A3" s="773"/>
      <c r="B3" s="847"/>
      <c r="C3" s="467" t="s">
        <v>1369</v>
      </c>
      <c r="D3" s="466" t="s">
        <v>1370</v>
      </c>
      <c r="E3" s="466" t="s">
        <v>1371</v>
      </c>
      <c r="F3" s="466" t="s">
        <v>1372</v>
      </c>
      <c r="G3" s="464" t="s">
        <v>1373</v>
      </c>
      <c r="H3" s="467" t="s">
        <v>1595</v>
      </c>
      <c r="I3" s="463" t="s">
        <v>1596</v>
      </c>
      <c r="J3" s="542" t="s">
        <v>1374</v>
      </c>
      <c r="K3" s="541" t="s">
        <v>1375</v>
      </c>
      <c r="L3" s="540" t="s">
        <v>1597</v>
      </c>
      <c r="M3" s="467" t="s">
        <v>1376</v>
      </c>
      <c r="N3" s="513" t="s">
        <v>1377</v>
      </c>
      <c r="O3" s="513" t="s">
        <v>1598</v>
      </c>
      <c r="P3" s="539" t="s">
        <v>1599</v>
      </c>
      <c r="Q3" s="538" t="s">
        <v>1378</v>
      </c>
    </row>
    <row r="4" spans="1:20" ht="20.100000000000001" customHeight="1">
      <c r="A4" s="773">
        <v>115</v>
      </c>
      <c r="B4" s="223">
        <v>8</v>
      </c>
      <c r="C4" s="342" t="s">
        <v>1648</v>
      </c>
      <c r="D4" s="195" t="s">
        <v>1705</v>
      </c>
      <c r="E4" s="235"/>
      <c r="F4" s="235"/>
      <c r="G4" s="537"/>
      <c r="H4" s="337"/>
      <c r="I4" s="536" t="s">
        <v>1642</v>
      </c>
      <c r="J4" s="454" t="s">
        <v>1660</v>
      </c>
      <c r="K4" s="535" t="s">
        <v>1647</v>
      </c>
      <c r="L4" s="196" t="s">
        <v>1701</v>
      </c>
      <c r="M4" s="161" t="s">
        <v>1645</v>
      </c>
      <c r="N4" s="195" t="s">
        <v>1698</v>
      </c>
      <c r="O4" s="265"/>
      <c r="P4" s="534"/>
      <c r="Q4" s="533" t="s">
        <v>1640</v>
      </c>
    </row>
    <row r="5" spans="1:20" ht="20.100000000000001" customHeight="1">
      <c r="A5" s="773"/>
      <c r="B5" s="223">
        <v>9</v>
      </c>
      <c r="C5" s="258"/>
      <c r="D5" s="6" t="s">
        <v>1644</v>
      </c>
      <c r="E5" s="221"/>
      <c r="F5" s="221"/>
      <c r="G5" s="217"/>
      <c r="H5" s="295" t="s">
        <v>1667</v>
      </c>
      <c r="I5" s="532"/>
      <c r="J5" s="199" t="s">
        <v>1697</v>
      </c>
      <c r="K5" s="6" t="s">
        <v>1670</v>
      </c>
      <c r="L5" s="200" t="s">
        <v>1641</v>
      </c>
      <c r="M5" s="258"/>
      <c r="N5" s="6" t="s">
        <v>1781</v>
      </c>
      <c r="O5" s="58" t="s">
        <v>1690</v>
      </c>
      <c r="P5" s="249"/>
      <c r="Q5" s="500" t="s">
        <v>1779</v>
      </c>
    </row>
    <row r="6" spans="1:20" ht="20.100000000000001" customHeight="1">
      <c r="A6" s="773"/>
      <c r="B6" s="223">
        <v>10</v>
      </c>
      <c r="C6" s="258"/>
      <c r="D6" s="220"/>
      <c r="E6" s="6" t="s">
        <v>1781</v>
      </c>
      <c r="F6" s="58" t="s">
        <v>1694</v>
      </c>
      <c r="G6" s="249"/>
      <c r="H6" s="295" t="s">
        <v>1823</v>
      </c>
      <c r="I6" s="531"/>
      <c r="J6" s="295" t="s">
        <v>1646</v>
      </c>
      <c r="K6" s="57" t="s">
        <v>1824</v>
      </c>
      <c r="L6" s="200" t="s">
        <v>1653</v>
      </c>
      <c r="M6" s="530"/>
      <c r="N6" s="221"/>
      <c r="O6" s="11" t="s">
        <v>1647</v>
      </c>
      <c r="P6" s="197" t="s">
        <v>1692</v>
      </c>
      <c r="Q6" s="500" t="s">
        <v>1822</v>
      </c>
    </row>
    <row r="7" spans="1:20" ht="20.100000000000001" customHeight="1">
      <c r="A7" s="773"/>
      <c r="B7" s="223">
        <v>11</v>
      </c>
      <c r="C7" s="258"/>
      <c r="D7" s="221"/>
      <c r="E7" s="220"/>
      <c r="F7" s="15" t="s">
        <v>1649</v>
      </c>
      <c r="G7" s="217"/>
      <c r="H7" s="258"/>
      <c r="I7" s="200" t="s">
        <v>1673</v>
      </c>
      <c r="J7" s="199" t="s">
        <v>1689</v>
      </c>
      <c r="K7" s="58" t="s">
        <v>1791</v>
      </c>
      <c r="L7" s="197" t="s">
        <v>1722</v>
      </c>
      <c r="M7" s="252"/>
      <c r="N7" s="220"/>
      <c r="O7" s="221"/>
      <c r="P7" s="200" t="s">
        <v>1671</v>
      </c>
      <c r="Q7" s="500" t="s">
        <v>1823</v>
      </c>
    </row>
    <row r="8" spans="1:20" ht="20.100000000000001" customHeight="1">
      <c r="A8" s="773"/>
      <c r="B8" s="223">
        <v>12</v>
      </c>
      <c r="C8" s="199" t="s">
        <v>1718</v>
      </c>
      <c r="D8" s="221"/>
      <c r="E8" s="221"/>
      <c r="F8" s="221"/>
      <c r="G8" s="200" t="s">
        <v>1654</v>
      </c>
      <c r="H8" s="258" t="s">
        <v>1637</v>
      </c>
      <c r="I8" s="217"/>
      <c r="J8" s="199" t="s">
        <v>1710</v>
      </c>
      <c r="K8" s="82" t="s">
        <v>1645</v>
      </c>
      <c r="L8" s="200" t="s">
        <v>1662</v>
      </c>
      <c r="M8" s="295" t="s">
        <v>1666</v>
      </c>
      <c r="N8" s="220"/>
      <c r="O8" s="220"/>
      <c r="P8" s="251"/>
      <c r="Q8" s="502" t="s">
        <v>1674</v>
      </c>
    </row>
    <row r="9" spans="1:20" ht="20.100000000000001" customHeight="1">
      <c r="A9" s="773">
        <v>116</v>
      </c>
      <c r="B9" s="223">
        <v>1</v>
      </c>
      <c r="C9" s="295" t="s">
        <v>1650</v>
      </c>
      <c r="D9" s="227"/>
      <c r="E9" s="221"/>
      <c r="F9" s="221"/>
      <c r="G9" s="249"/>
      <c r="H9" s="199" t="s">
        <v>1716</v>
      </c>
      <c r="I9" s="217"/>
      <c r="J9" s="295" t="s">
        <v>1820</v>
      </c>
      <c r="K9" s="294"/>
      <c r="L9" s="200" t="s">
        <v>1651</v>
      </c>
      <c r="M9" s="252"/>
      <c r="N9" s="6" t="s">
        <v>1658</v>
      </c>
      <c r="O9" s="218"/>
      <c r="P9" s="217"/>
      <c r="Q9" s="529" t="s">
        <v>1783</v>
      </c>
    </row>
    <row r="10" spans="1:20" ht="20.100000000000001" customHeight="1">
      <c r="A10" s="773"/>
      <c r="B10" s="223">
        <v>2</v>
      </c>
      <c r="C10" s="228"/>
      <c r="D10" s="6" t="s">
        <v>1651</v>
      </c>
      <c r="E10" s="58" t="s">
        <v>1714</v>
      </c>
      <c r="F10" s="221"/>
      <c r="G10" s="249"/>
      <c r="H10" s="228"/>
      <c r="I10" s="217"/>
      <c r="J10" s="295" t="s">
        <v>1661</v>
      </c>
      <c r="K10" s="6" t="s">
        <v>1669</v>
      </c>
      <c r="L10" s="197" t="s">
        <v>1679</v>
      </c>
      <c r="M10" s="228"/>
      <c r="N10" s="220"/>
      <c r="O10" s="6" t="s">
        <v>1670</v>
      </c>
      <c r="P10" s="528" t="s">
        <v>1664</v>
      </c>
      <c r="Q10" s="500" t="s">
        <v>1662</v>
      </c>
    </row>
    <row r="11" spans="1:20" s="521" customFormat="1" ht="20.100000000000001" customHeight="1">
      <c r="A11" s="773"/>
      <c r="B11" s="256">
        <v>3</v>
      </c>
      <c r="C11" s="527"/>
      <c r="D11" s="300"/>
      <c r="E11" s="6" t="s">
        <v>1673</v>
      </c>
      <c r="F11" s="526"/>
      <c r="G11" s="522"/>
      <c r="H11" s="525"/>
      <c r="I11" s="197" t="s">
        <v>1696</v>
      </c>
      <c r="J11" s="524"/>
      <c r="K11" s="6" t="s">
        <v>1646</v>
      </c>
      <c r="L11" s="327" t="s">
        <v>1657</v>
      </c>
      <c r="M11" s="295" t="s">
        <v>1667</v>
      </c>
      <c r="N11" s="227"/>
      <c r="O11" s="523"/>
      <c r="P11" s="522"/>
      <c r="Q11" s="500" t="s">
        <v>1669</v>
      </c>
    </row>
    <row r="12" spans="1:20" ht="20.100000000000001" customHeight="1">
      <c r="A12" s="773"/>
      <c r="B12" s="223">
        <v>4</v>
      </c>
      <c r="C12" s="258"/>
      <c r="D12" s="218"/>
      <c r="E12" s="218"/>
      <c r="F12" s="221"/>
      <c r="G12" s="251"/>
      <c r="H12" s="199" t="s">
        <v>1701</v>
      </c>
      <c r="I12" s="217"/>
      <c r="J12" s="295" t="s">
        <v>1665</v>
      </c>
      <c r="K12" s="6" t="s">
        <v>1666</v>
      </c>
      <c r="L12" s="200" t="s">
        <v>1780</v>
      </c>
      <c r="M12" s="252"/>
      <c r="N12" s="6" t="s">
        <v>1646</v>
      </c>
      <c r="O12" s="221"/>
      <c r="P12" s="249"/>
      <c r="Q12" s="500" t="s">
        <v>1655</v>
      </c>
    </row>
    <row r="13" spans="1:20" ht="20.100000000000001" customHeight="1">
      <c r="A13" s="773"/>
      <c r="B13" s="223">
        <v>5</v>
      </c>
      <c r="C13" s="258"/>
      <c r="D13" s="220"/>
      <c r="E13" s="218"/>
      <c r="F13" s="218"/>
      <c r="G13" s="217"/>
      <c r="H13" s="228"/>
      <c r="I13" s="217"/>
      <c r="J13" s="295" t="s">
        <v>1655</v>
      </c>
      <c r="K13" s="294"/>
      <c r="L13" s="200" t="s">
        <v>1658</v>
      </c>
      <c r="M13" s="199" t="s">
        <v>1714</v>
      </c>
      <c r="N13" s="494"/>
      <c r="O13" s="6" t="s">
        <v>1662</v>
      </c>
      <c r="P13" s="249"/>
      <c r="Q13" s="500" t="s">
        <v>1650</v>
      </c>
    </row>
    <row r="14" spans="1:20" ht="20.100000000000001" customHeight="1">
      <c r="A14" s="773"/>
      <c r="B14" s="223">
        <v>6</v>
      </c>
      <c r="C14" s="258"/>
      <c r="D14" s="220"/>
      <c r="E14" s="218"/>
      <c r="F14" s="6" t="s">
        <v>1651</v>
      </c>
      <c r="G14" s="251"/>
      <c r="H14" s="228"/>
      <c r="I14" s="217"/>
      <c r="J14" s="295" t="s">
        <v>1667</v>
      </c>
      <c r="K14" s="6" t="s">
        <v>1652</v>
      </c>
      <c r="L14" s="197" t="s">
        <v>1727</v>
      </c>
      <c r="M14" s="199" t="s">
        <v>1723</v>
      </c>
      <c r="N14" s="58" t="s">
        <v>1717</v>
      </c>
      <c r="O14" s="221"/>
      <c r="P14" s="249"/>
      <c r="Q14" s="500" t="s">
        <v>1666</v>
      </c>
    </row>
    <row r="15" spans="1:20" ht="20.100000000000001" customHeight="1" thickBot="1">
      <c r="A15" s="774"/>
      <c r="B15" s="216">
        <v>7</v>
      </c>
      <c r="C15" s="288"/>
      <c r="D15" s="248"/>
      <c r="E15" s="248"/>
      <c r="F15" s="292"/>
      <c r="G15" s="287" t="s">
        <v>1669</v>
      </c>
      <c r="H15" s="520"/>
      <c r="I15" s="332" t="s">
        <v>1702</v>
      </c>
      <c r="J15" s="201" t="s">
        <v>1676</v>
      </c>
      <c r="K15" s="213" t="s">
        <v>1650</v>
      </c>
      <c r="L15" s="287" t="s">
        <v>1655</v>
      </c>
      <c r="M15" s="444"/>
      <c r="N15" s="292"/>
      <c r="O15" s="519"/>
      <c r="P15" s="287" t="s">
        <v>1658</v>
      </c>
      <c r="Q15" s="518" t="s">
        <v>1647</v>
      </c>
    </row>
    <row r="16" spans="1:20" ht="20.100000000000001" customHeight="1" thickBot="1">
      <c r="B16" s="470"/>
      <c r="C16" s="470"/>
      <c r="D16" s="470"/>
      <c r="E16" s="470"/>
      <c r="F16" s="470"/>
      <c r="G16" s="470"/>
      <c r="H16" s="470"/>
      <c r="I16" s="470" t="s">
        <v>1600</v>
      </c>
      <c r="J16" s="470"/>
      <c r="L16" s="470"/>
      <c r="M16" s="470"/>
      <c r="N16" s="470"/>
      <c r="O16" s="470"/>
      <c r="P16" s="470"/>
      <c r="Q16" s="470"/>
      <c r="R16" s="470"/>
      <c r="S16" s="470"/>
      <c r="T16" s="470"/>
    </row>
    <row r="17" spans="1:20" ht="20.100000000000001" customHeight="1" thickBot="1">
      <c r="A17" s="818" t="s">
        <v>1608</v>
      </c>
      <c r="B17" s="819"/>
      <c r="C17" s="819"/>
      <c r="D17" s="819"/>
      <c r="E17" s="819"/>
      <c r="F17" s="819"/>
      <c r="G17" s="819"/>
      <c r="H17" s="819"/>
      <c r="I17" s="819"/>
      <c r="J17" s="819"/>
      <c r="K17" s="819"/>
      <c r="L17" s="819"/>
      <c r="M17" s="819"/>
      <c r="N17" s="819"/>
      <c r="O17" s="819"/>
      <c r="P17" s="819"/>
      <c r="Q17" s="819"/>
      <c r="R17" s="820"/>
      <c r="S17" s="517"/>
      <c r="T17" s="517"/>
    </row>
    <row r="18" spans="1:20" ht="20.100000000000001" customHeight="1" thickBot="1">
      <c r="A18" s="794" t="s">
        <v>1368</v>
      </c>
      <c r="B18" s="832" t="s">
        <v>1382</v>
      </c>
      <c r="C18" s="852" t="s">
        <v>27</v>
      </c>
      <c r="D18" s="853"/>
      <c r="E18" s="516" t="s">
        <v>102</v>
      </c>
      <c r="F18" s="850" t="s">
        <v>210</v>
      </c>
      <c r="G18" s="853"/>
      <c r="H18" s="788" t="s">
        <v>65</v>
      </c>
      <c r="I18" s="789"/>
      <c r="J18" s="789"/>
      <c r="K18" s="789"/>
      <c r="L18" s="791"/>
      <c r="M18" s="818" t="s">
        <v>85</v>
      </c>
      <c r="N18" s="819"/>
      <c r="O18" s="819"/>
      <c r="P18" s="819"/>
      <c r="Q18" s="819"/>
      <c r="R18" s="820"/>
    </row>
    <row r="19" spans="1:20" ht="20.100000000000001" customHeight="1" thickBot="1">
      <c r="A19" s="773"/>
      <c r="B19" s="847"/>
      <c r="C19" s="467" t="s">
        <v>1601</v>
      </c>
      <c r="D19" s="463" t="s">
        <v>1379</v>
      </c>
      <c r="E19" s="470" t="s">
        <v>1602</v>
      </c>
      <c r="F19" s="515" t="s">
        <v>1380</v>
      </c>
      <c r="G19" s="514" t="s">
        <v>1381</v>
      </c>
      <c r="H19" s="467" t="s">
        <v>1383</v>
      </c>
      <c r="I19" s="466" t="s">
        <v>1603</v>
      </c>
      <c r="J19" s="466" t="s">
        <v>1385</v>
      </c>
      <c r="K19" s="464" t="s">
        <v>1386</v>
      </c>
      <c r="L19" s="463" t="s">
        <v>1384</v>
      </c>
      <c r="M19" s="467" t="s">
        <v>1387</v>
      </c>
      <c r="N19" s="466" t="s">
        <v>1388</v>
      </c>
      <c r="O19" s="466" t="s">
        <v>1389</v>
      </c>
      <c r="P19" s="513" t="s">
        <v>1604</v>
      </c>
      <c r="Q19" s="513" t="s">
        <v>1605</v>
      </c>
      <c r="R19" s="512" t="s">
        <v>1606</v>
      </c>
    </row>
    <row r="20" spans="1:20" ht="19.5" customHeight="1">
      <c r="A20" s="773">
        <v>115</v>
      </c>
      <c r="B20" s="223">
        <v>8</v>
      </c>
      <c r="C20" s="454" t="s">
        <v>1654</v>
      </c>
      <c r="D20" s="196" t="s">
        <v>1723</v>
      </c>
      <c r="E20" s="511" t="s">
        <v>1653</v>
      </c>
      <c r="F20" s="342" t="s">
        <v>1659</v>
      </c>
      <c r="G20" s="510" t="s">
        <v>1707</v>
      </c>
      <c r="H20" s="454" t="s">
        <v>1823</v>
      </c>
      <c r="I20" s="195" t="s">
        <v>1727</v>
      </c>
      <c r="J20" s="234"/>
      <c r="K20" s="234"/>
      <c r="L20" s="238"/>
      <c r="M20" s="454" t="s">
        <v>1670</v>
      </c>
      <c r="N20" s="236" t="s">
        <v>1672</v>
      </c>
      <c r="O20" s="235"/>
      <c r="P20" s="234"/>
      <c r="Q20" s="234"/>
      <c r="R20" s="260"/>
    </row>
    <row r="21" spans="1:20" ht="20.100000000000001" customHeight="1">
      <c r="A21" s="773"/>
      <c r="B21" s="223">
        <v>9</v>
      </c>
      <c r="C21" s="199" t="s">
        <v>1719</v>
      </c>
      <c r="D21" s="200" t="s">
        <v>1822</v>
      </c>
      <c r="E21" s="84" t="s">
        <v>1807</v>
      </c>
      <c r="F21" s="199" t="s">
        <v>1703</v>
      </c>
      <c r="G21" s="306" t="s">
        <v>1647</v>
      </c>
      <c r="H21" s="258"/>
      <c r="I21" s="82" t="s">
        <v>1645</v>
      </c>
      <c r="J21" s="58" t="s">
        <v>1711</v>
      </c>
      <c r="K21" s="218"/>
      <c r="L21" s="223"/>
      <c r="M21" s="228"/>
      <c r="N21" s="218"/>
      <c r="O21" s="6" t="s">
        <v>1654</v>
      </c>
      <c r="P21" s="58" t="s">
        <v>1676</v>
      </c>
      <c r="Q21" s="221"/>
      <c r="R21" s="249"/>
    </row>
    <row r="22" spans="1:20" ht="19.5" customHeight="1">
      <c r="A22" s="773"/>
      <c r="B22" s="223">
        <v>10</v>
      </c>
      <c r="C22" s="295" t="s">
        <v>1651</v>
      </c>
      <c r="D22" s="200" t="s">
        <v>1665</v>
      </c>
      <c r="E22" s="84" t="s">
        <v>1660</v>
      </c>
      <c r="F22" s="295" t="s">
        <v>1642</v>
      </c>
      <c r="G22" s="303" t="s">
        <v>1715</v>
      </c>
      <c r="H22" s="258"/>
      <c r="I22" s="226"/>
      <c r="J22" s="6" t="s">
        <v>1652</v>
      </c>
      <c r="K22" s="16" t="s">
        <v>1648</v>
      </c>
      <c r="L22" s="223"/>
      <c r="M22" s="258"/>
      <c r="N22" s="220"/>
      <c r="O22" s="220"/>
      <c r="P22" s="6" t="s">
        <v>1776</v>
      </c>
      <c r="Q22" s="58" t="s">
        <v>1695</v>
      </c>
      <c r="R22" s="249"/>
    </row>
    <row r="23" spans="1:20" ht="20.100000000000001" customHeight="1">
      <c r="A23" s="773"/>
      <c r="B23" s="223">
        <v>11</v>
      </c>
      <c r="C23" s="329" t="s">
        <v>1687</v>
      </c>
      <c r="D23" s="197" t="s">
        <v>1717</v>
      </c>
      <c r="E23" s="84" t="s">
        <v>1642</v>
      </c>
      <c r="F23" s="199" t="s">
        <v>1696</v>
      </c>
      <c r="G23" s="83" t="s">
        <v>1644</v>
      </c>
      <c r="H23" s="297"/>
      <c r="I23" s="302"/>
      <c r="J23" s="259"/>
      <c r="K23" s="58" t="s">
        <v>1721</v>
      </c>
      <c r="L23" s="303" t="s">
        <v>1702</v>
      </c>
      <c r="M23" s="228"/>
      <c r="N23" s="221"/>
      <c r="O23" s="218"/>
      <c r="P23" s="221"/>
      <c r="Q23" s="6" t="s">
        <v>1807</v>
      </c>
      <c r="R23" s="197" t="s">
        <v>1709</v>
      </c>
    </row>
    <row r="24" spans="1:20" ht="20.100000000000001" customHeight="1">
      <c r="A24" s="773"/>
      <c r="B24" s="223">
        <v>12</v>
      </c>
      <c r="C24" s="199" t="s">
        <v>1703</v>
      </c>
      <c r="D24" s="200" t="s">
        <v>1673</v>
      </c>
      <c r="E24" s="84" t="s">
        <v>1644</v>
      </c>
      <c r="F24" s="329" t="s">
        <v>1656</v>
      </c>
      <c r="G24" s="303" t="s">
        <v>1692</v>
      </c>
      <c r="H24" s="199" t="s">
        <v>1706</v>
      </c>
      <c r="I24" s="221"/>
      <c r="J24" s="302"/>
      <c r="K24" s="302"/>
      <c r="L24" s="83" t="s">
        <v>1658</v>
      </c>
      <c r="M24" s="228"/>
      <c r="N24" s="221"/>
      <c r="O24" s="221"/>
      <c r="P24" s="221"/>
      <c r="Q24" s="221"/>
      <c r="R24" s="200" t="s">
        <v>1672</v>
      </c>
    </row>
    <row r="25" spans="1:20" ht="20.100000000000001" customHeight="1">
      <c r="A25" s="773">
        <v>116</v>
      </c>
      <c r="B25" s="223">
        <v>1</v>
      </c>
      <c r="C25" s="301"/>
      <c r="D25" s="197" t="s">
        <v>1821</v>
      </c>
      <c r="E25" s="509" t="s">
        <v>1647</v>
      </c>
      <c r="F25" s="199" t="s">
        <v>1697</v>
      </c>
      <c r="G25" s="83" t="s">
        <v>1669</v>
      </c>
      <c r="H25" s="329" t="s">
        <v>1741</v>
      </c>
      <c r="I25" s="181" t="s">
        <v>1664</v>
      </c>
      <c r="J25" s="221"/>
      <c r="K25" s="221"/>
      <c r="L25" s="223"/>
      <c r="M25" s="295" t="s">
        <v>1644</v>
      </c>
      <c r="N25" s="220"/>
      <c r="O25" s="218"/>
      <c r="P25" s="221"/>
      <c r="Q25" s="221"/>
      <c r="R25" s="249"/>
    </row>
    <row r="26" spans="1:20" ht="20.100000000000001" customHeight="1">
      <c r="A26" s="773"/>
      <c r="B26" s="223">
        <v>2</v>
      </c>
      <c r="C26" s="199" t="s">
        <v>1710</v>
      </c>
      <c r="D26" s="508" t="s">
        <v>1640</v>
      </c>
      <c r="E26" s="507" t="s">
        <v>1783</v>
      </c>
      <c r="F26" s="295" t="s">
        <v>1665</v>
      </c>
      <c r="G26" s="83" t="s">
        <v>1779</v>
      </c>
      <c r="H26" s="301"/>
      <c r="I26" s="302"/>
      <c r="J26" s="6" t="s">
        <v>1781</v>
      </c>
      <c r="K26" s="31" t="s">
        <v>1638</v>
      </c>
      <c r="L26" s="223"/>
      <c r="M26" s="199" t="s">
        <v>1700</v>
      </c>
      <c r="N26" s="6" t="s">
        <v>1644</v>
      </c>
      <c r="O26" s="218"/>
      <c r="P26" s="227"/>
      <c r="Q26" s="221"/>
      <c r="R26" s="249"/>
    </row>
    <row r="27" spans="1:20" ht="20.100000000000001" customHeight="1">
      <c r="A27" s="773"/>
      <c r="B27" s="223">
        <v>3</v>
      </c>
      <c r="C27" s="295" t="s">
        <v>1779</v>
      </c>
      <c r="D27" s="249"/>
      <c r="E27" s="84" t="s">
        <v>1654</v>
      </c>
      <c r="F27" s="488" t="s">
        <v>1638</v>
      </c>
      <c r="G27" s="303" t="s">
        <v>1720</v>
      </c>
      <c r="H27" s="258"/>
      <c r="I27" s="58" t="s">
        <v>1715</v>
      </c>
      <c r="J27" s="259"/>
      <c r="K27" s="221"/>
      <c r="L27" s="83" t="s">
        <v>1655</v>
      </c>
      <c r="M27" s="252"/>
      <c r="N27" s="220"/>
      <c r="O27" s="6" t="s">
        <v>1665</v>
      </c>
      <c r="P27" s="16" t="s">
        <v>1656</v>
      </c>
      <c r="Q27" s="221"/>
      <c r="R27" s="249"/>
    </row>
    <row r="28" spans="1:20" ht="20.100000000000001" customHeight="1">
      <c r="A28" s="773"/>
      <c r="B28" s="223">
        <v>4</v>
      </c>
      <c r="C28" s="199" t="s">
        <v>1709</v>
      </c>
      <c r="D28" s="159" t="s">
        <v>1645</v>
      </c>
      <c r="E28" s="84" t="s">
        <v>1672</v>
      </c>
      <c r="F28" s="199" t="s">
        <v>1698</v>
      </c>
      <c r="G28" s="83" t="s">
        <v>1673</v>
      </c>
      <c r="H28" s="295" t="s">
        <v>1800</v>
      </c>
      <c r="I28" s="221"/>
      <c r="J28" s="58" t="s">
        <v>1675</v>
      </c>
      <c r="K28" s="58" t="s">
        <v>1693</v>
      </c>
      <c r="L28" s="303" t="s">
        <v>1707</v>
      </c>
      <c r="M28" s="307"/>
      <c r="N28" s="220"/>
      <c r="O28" s="259"/>
      <c r="P28" s="221"/>
      <c r="Q28" s="16" t="s">
        <v>1741</v>
      </c>
      <c r="R28" s="249"/>
    </row>
    <row r="29" spans="1:20" ht="20.100000000000001" customHeight="1">
      <c r="A29" s="773"/>
      <c r="B29" s="223">
        <v>5</v>
      </c>
      <c r="C29" s="295" t="s">
        <v>1671</v>
      </c>
      <c r="D29" s="197" t="s">
        <v>1720</v>
      </c>
      <c r="E29" s="507" t="s">
        <v>1657</v>
      </c>
      <c r="F29" s="295" t="s">
        <v>1672</v>
      </c>
      <c r="G29" s="299"/>
      <c r="H29" s="199" t="s">
        <v>1719</v>
      </c>
      <c r="I29" s="6" t="s">
        <v>1820</v>
      </c>
      <c r="J29" s="58" t="s">
        <v>1700</v>
      </c>
      <c r="K29" s="58" t="s">
        <v>1695</v>
      </c>
      <c r="L29" s="223"/>
      <c r="M29" s="228"/>
      <c r="N29" s="221"/>
      <c r="O29" s="221"/>
      <c r="P29" s="221"/>
      <c r="Q29" s="221"/>
      <c r="R29" s="200" t="s">
        <v>1660</v>
      </c>
    </row>
    <row r="30" spans="1:20" ht="20.100000000000001" customHeight="1">
      <c r="A30" s="773"/>
      <c r="B30" s="223">
        <v>6</v>
      </c>
      <c r="C30" s="199" t="s">
        <v>1718</v>
      </c>
      <c r="D30" s="200" t="s">
        <v>1820</v>
      </c>
      <c r="E30" s="84" t="s">
        <v>1650</v>
      </c>
      <c r="F30" s="199" t="s">
        <v>1677</v>
      </c>
      <c r="G30" s="506" t="s">
        <v>1674</v>
      </c>
      <c r="H30" s="258"/>
      <c r="I30" s="221"/>
      <c r="J30" s="15" t="s">
        <v>1649</v>
      </c>
      <c r="K30" s="6" t="s">
        <v>1672</v>
      </c>
      <c r="L30" s="303" t="s">
        <v>1722</v>
      </c>
      <c r="M30" s="295" t="s">
        <v>1670</v>
      </c>
      <c r="N30" s="58" t="s">
        <v>1678</v>
      </c>
      <c r="O30" s="218"/>
      <c r="P30" s="221"/>
      <c r="Q30" s="221"/>
      <c r="R30" s="249"/>
    </row>
    <row r="31" spans="1:20" ht="20.100000000000001" customHeight="1" thickBot="1">
      <c r="A31" s="774"/>
      <c r="B31" s="216">
        <v>7</v>
      </c>
      <c r="C31" s="289" t="s">
        <v>1781</v>
      </c>
      <c r="D31" s="332" t="s">
        <v>1721</v>
      </c>
      <c r="E31" s="505" t="s">
        <v>1667</v>
      </c>
      <c r="F31" s="289" t="s">
        <v>1671</v>
      </c>
      <c r="G31" s="290" t="s">
        <v>1694</v>
      </c>
      <c r="H31" s="289" t="s">
        <v>1653</v>
      </c>
      <c r="I31" s="202" t="s">
        <v>1677</v>
      </c>
      <c r="J31" s="211"/>
      <c r="K31" s="202" t="s">
        <v>1678</v>
      </c>
      <c r="L31" s="504" t="s">
        <v>1666</v>
      </c>
      <c r="M31" s="288"/>
      <c r="N31" s="213" t="s">
        <v>1654</v>
      </c>
      <c r="O31" s="202" t="s">
        <v>1675</v>
      </c>
      <c r="P31" s="211"/>
      <c r="Q31" s="211"/>
      <c r="R31" s="243"/>
    </row>
  </sheetData>
  <mergeCells count="18">
    <mergeCell ref="A25:A31"/>
    <mergeCell ref="A17:R17"/>
    <mergeCell ref="M18:R18"/>
    <mergeCell ref="H18:L18"/>
    <mergeCell ref="F18:G18"/>
    <mergeCell ref="A18:A19"/>
    <mergeCell ref="B18:B19"/>
    <mergeCell ref="C18:D18"/>
    <mergeCell ref="A20:A24"/>
    <mergeCell ref="A4:A8"/>
    <mergeCell ref="A9:A15"/>
    <mergeCell ref="A1:Q1"/>
    <mergeCell ref="A2:A3"/>
    <mergeCell ref="B2:B3"/>
    <mergeCell ref="C2:G2"/>
    <mergeCell ref="H2:I2"/>
    <mergeCell ref="J2:L2"/>
    <mergeCell ref="M2:P2"/>
  </mergeCells>
  <phoneticPr fontId="5" type="noConversion"/>
  <conditionalFormatting sqref="D4">
    <cfRule type="duplicateValues" dxfId="59" priority="60"/>
  </conditionalFormatting>
  <conditionalFormatting sqref="C8">
    <cfRule type="duplicateValues" dxfId="58" priority="59"/>
  </conditionalFormatting>
  <conditionalFormatting sqref="F6">
    <cfRule type="duplicateValues" dxfId="57" priority="58"/>
  </conditionalFormatting>
  <conditionalFormatting sqref="E10">
    <cfRule type="duplicateValues" dxfId="56" priority="57"/>
  </conditionalFormatting>
  <conditionalFormatting sqref="H9">
    <cfRule type="duplicateValues" dxfId="55" priority="56"/>
  </conditionalFormatting>
  <conditionalFormatting sqref="H12">
    <cfRule type="duplicateValues" dxfId="54" priority="55"/>
  </conditionalFormatting>
  <conditionalFormatting sqref="I11">
    <cfRule type="duplicateValues" dxfId="53" priority="54"/>
  </conditionalFormatting>
  <conditionalFormatting sqref="I15">
    <cfRule type="duplicateValues" dxfId="52" priority="53"/>
  </conditionalFormatting>
  <conditionalFormatting sqref="K6">
    <cfRule type="duplicateValues" dxfId="51" priority="52"/>
  </conditionalFormatting>
  <conditionalFormatting sqref="L7">
    <cfRule type="duplicateValues" dxfId="50" priority="49"/>
  </conditionalFormatting>
  <conditionalFormatting sqref="L10">
    <cfRule type="duplicateValues" dxfId="49" priority="45"/>
  </conditionalFormatting>
  <conditionalFormatting sqref="J15">
    <cfRule type="duplicateValues" dxfId="48" priority="44"/>
  </conditionalFormatting>
  <conditionalFormatting sqref="J5">
    <cfRule type="duplicateValues" dxfId="47" priority="51"/>
  </conditionalFormatting>
  <conditionalFormatting sqref="L4">
    <cfRule type="duplicateValues" dxfId="46" priority="50"/>
  </conditionalFormatting>
  <conditionalFormatting sqref="K7">
    <cfRule type="duplicateValues" dxfId="45" priority="48"/>
  </conditionalFormatting>
  <conditionalFormatting sqref="J7">
    <cfRule type="duplicateValues" dxfId="44" priority="47"/>
  </conditionalFormatting>
  <conditionalFormatting sqref="J8">
    <cfRule type="duplicateValues" dxfId="43" priority="46"/>
  </conditionalFormatting>
  <conditionalFormatting sqref="L14">
    <cfRule type="duplicateValues" dxfId="42" priority="43"/>
  </conditionalFormatting>
  <conditionalFormatting sqref="N4">
    <cfRule type="duplicateValues" dxfId="41" priority="42"/>
  </conditionalFormatting>
  <conditionalFormatting sqref="O5">
    <cfRule type="duplicateValues" dxfId="40" priority="41"/>
  </conditionalFormatting>
  <conditionalFormatting sqref="P6">
    <cfRule type="duplicateValues" dxfId="39" priority="40"/>
  </conditionalFormatting>
  <conditionalFormatting sqref="M13:M14">
    <cfRule type="duplicateValues" dxfId="38" priority="39"/>
  </conditionalFormatting>
  <conditionalFormatting sqref="N14">
    <cfRule type="duplicateValues" dxfId="37" priority="38"/>
  </conditionalFormatting>
  <conditionalFormatting sqref="F23">
    <cfRule type="duplicateValues" dxfId="36" priority="28"/>
  </conditionalFormatting>
  <conditionalFormatting sqref="G27">
    <cfRule type="duplicateValues" dxfId="35" priority="32"/>
  </conditionalFormatting>
  <conditionalFormatting sqref="G20">
    <cfRule type="duplicateValues" dxfId="34" priority="37"/>
  </conditionalFormatting>
  <conditionalFormatting sqref="F21">
    <cfRule type="duplicateValues" dxfId="33" priority="36"/>
  </conditionalFormatting>
  <conditionalFormatting sqref="G22">
    <cfRule type="duplicateValues" dxfId="32" priority="35"/>
  </conditionalFormatting>
  <conditionalFormatting sqref="G24">
    <cfRule type="duplicateValues" dxfId="31" priority="34"/>
  </conditionalFormatting>
  <conditionalFormatting sqref="F25">
    <cfRule type="duplicateValues" dxfId="30" priority="33"/>
  </conditionalFormatting>
  <conditionalFormatting sqref="F28">
    <cfRule type="duplicateValues" dxfId="29" priority="31"/>
  </conditionalFormatting>
  <conditionalFormatting sqref="F30">
    <cfRule type="duplicateValues" dxfId="28" priority="30"/>
  </conditionalFormatting>
  <conditionalFormatting sqref="G31">
    <cfRule type="duplicateValues" dxfId="27" priority="29"/>
  </conditionalFormatting>
  <conditionalFormatting sqref="I20">
    <cfRule type="duplicateValues" dxfId="26" priority="27"/>
  </conditionalFormatting>
  <conditionalFormatting sqref="J21">
    <cfRule type="duplicateValues" dxfId="25" priority="26"/>
  </conditionalFormatting>
  <conditionalFormatting sqref="K23:L23">
    <cfRule type="duplicateValues" dxfId="24" priority="25"/>
  </conditionalFormatting>
  <conditionalFormatting sqref="I27">
    <cfRule type="duplicateValues" dxfId="23" priority="24"/>
  </conditionalFormatting>
  <conditionalFormatting sqref="J28:K29">
    <cfRule type="duplicateValues" dxfId="22" priority="23"/>
  </conditionalFormatting>
  <conditionalFormatting sqref="L28">
    <cfRule type="duplicateValues" dxfId="21" priority="22"/>
  </conditionalFormatting>
  <conditionalFormatting sqref="L30">
    <cfRule type="duplicateValues" dxfId="20" priority="21"/>
  </conditionalFormatting>
  <conditionalFormatting sqref="K31">
    <cfRule type="duplicateValues" dxfId="19" priority="20"/>
  </conditionalFormatting>
  <conditionalFormatting sqref="I31">
    <cfRule type="duplicateValues" dxfId="18" priority="19"/>
  </conditionalFormatting>
  <conditionalFormatting sqref="H29">
    <cfRule type="duplicateValues" dxfId="17" priority="18"/>
  </conditionalFormatting>
  <conditionalFormatting sqref="H24">
    <cfRule type="duplicateValues" dxfId="16" priority="17"/>
  </conditionalFormatting>
  <conditionalFormatting sqref="P21">
    <cfRule type="duplicateValues" dxfId="15" priority="16"/>
  </conditionalFormatting>
  <conditionalFormatting sqref="Q22">
    <cfRule type="duplicateValues" dxfId="14" priority="15"/>
  </conditionalFormatting>
  <conditionalFormatting sqref="R23">
    <cfRule type="duplicateValues" dxfId="13" priority="14"/>
  </conditionalFormatting>
  <conditionalFormatting sqref="M26">
    <cfRule type="duplicateValues" dxfId="12" priority="13"/>
  </conditionalFormatting>
  <conditionalFormatting sqref="O31">
    <cfRule type="duplicateValues" dxfId="11" priority="12"/>
  </conditionalFormatting>
  <conditionalFormatting sqref="N30">
    <cfRule type="duplicateValues" dxfId="10" priority="11"/>
  </conditionalFormatting>
  <conditionalFormatting sqref="D20">
    <cfRule type="duplicateValues" dxfId="9" priority="10"/>
  </conditionalFormatting>
  <conditionalFormatting sqref="C21">
    <cfRule type="duplicateValues" dxfId="8" priority="9"/>
  </conditionalFormatting>
  <conditionalFormatting sqref="D23">
    <cfRule type="duplicateValues" dxfId="7" priority="8"/>
  </conditionalFormatting>
  <conditionalFormatting sqref="C24">
    <cfRule type="duplicateValues" dxfId="6" priority="7"/>
  </conditionalFormatting>
  <conditionalFormatting sqref="D25">
    <cfRule type="duplicateValues" dxfId="5" priority="6"/>
  </conditionalFormatting>
  <conditionalFormatting sqref="C26">
    <cfRule type="duplicateValues" dxfId="4" priority="5"/>
  </conditionalFormatting>
  <conditionalFormatting sqref="C28">
    <cfRule type="duplicateValues" dxfId="3" priority="4"/>
  </conditionalFormatting>
  <conditionalFormatting sqref="D29">
    <cfRule type="duplicateValues" dxfId="2" priority="3"/>
  </conditionalFormatting>
  <conditionalFormatting sqref="D31">
    <cfRule type="duplicateValues" dxfId="1" priority="2"/>
  </conditionalFormatting>
  <conditionalFormatting sqref="C30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G17"/>
  <sheetViews>
    <sheetView workbookViewId="0">
      <selection activeCell="E28" sqref="E28"/>
    </sheetView>
  </sheetViews>
  <sheetFormatPr defaultRowHeight="16.5"/>
  <cols>
    <col min="1" max="1" width="9.5703125" style="122" customWidth="1"/>
    <col min="2" max="2" width="10.28515625" style="122" customWidth="1"/>
    <col min="3" max="4" width="22.140625" style="122" customWidth="1"/>
    <col min="5" max="5" width="30.7109375" style="122" bestFit="1" customWidth="1"/>
    <col min="6" max="6" width="21.140625" style="122" customWidth="1"/>
    <col min="7" max="16384" width="9.140625" style="122"/>
  </cols>
  <sheetData>
    <row r="1" spans="1:7" ht="19.149999999999999" customHeight="1" thickBot="1">
      <c r="A1" s="867" t="s">
        <v>1634</v>
      </c>
      <c r="B1" s="868"/>
      <c r="C1" s="868"/>
      <c r="D1" s="868"/>
      <c r="E1" s="868"/>
      <c r="F1" s="869"/>
    </row>
    <row r="2" spans="1:7" ht="19.5" customHeight="1" thickBot="1">
      <c r="A2" s="870" t="s">
        <v>1635</v>
      </c>
      <c r="B2" s="871"/>
      <c r="C2" s="871"/>
      <c r="D2" s="871"/>
      <c r="E2" s="871"/>
      <c r="F2" s="872"/>
    </row>
    <row r="3" spans="1:7" ht="36.75" customHeight="1">
      <c r="A3" s="860" t="s">
        <v>1312</v>
      </c>
      <c r="B3" s="861"/>
      <c r="C3" s="854" t="s">
        <v>1636</v>
      </c>
      <c r="D3" s="855"/>
      <c r="E3" s="855"/>
      <c r="F3" s="856"/>
    </row>
    <row r="4" spans="1:7" ht="17.25" thickBot="1">
      <c r="A4" s="123" t="s">
        <v>1320</v>
      </c>
      <c r="B4" s="115" t="s">
        <v>1321</v>
      </c>
      <c r="C4" s="857"/>
      <c r="D4" s="858"/>
      <c r="E4" s="858"/>
      <c r="F4" s="859"/>
    </row>
    <row r="5" spans="1:7" ht="18.75">
      <c r="A5" s="862">
        <v>115</v>
      </c>
      <c r="B5" s="124">
        <v>8</v>
      </c>
      <c r="C5" s="161" t="s">
        <v>1637</v>
      </c>
      <c r="D5" s="162" t="s">
        <v>1639</v>
      </c>
      <c r="E5" s="162" t="s">
        <v>1641</v>
      </c>
      <c r="F5" s="166"/>
      <c r="G5" s="125"/>
    </row>
    <row r="6" spans="1:7" ht="18.75">
      <c r="A6" s="863"/>
      <c r="B6" s="117">
        <v>9</v>
      </c>
      <c r="C6" s="488" t="s">
        <v>1638</v>
      </c>
      <c r="D6" s="32" t="s">
        <v>1640</v>
      </c>
      <c r="E6" s="82" t="s">
        <v>1642</v>
      </c>
      <c r="F6" s="164"/>
      <c r="G6" s="120"/>
    </row>
    <row r="7" spans="1:7" ht="18.75">
      <c r="A7" s="863"/>
      <c r="B7" s="117">
        <v>10</v>
      </c>
      <c r="C7" s="158" t="s">
        <v>1645</v>
      </c>
      <c r="D7" s="82" t="s">
        <v>1644</v>
      </c>
      <c r="E7" s="163" t="s">
        <v>1643</v>
      </c>
      <c r="F7" s="164"/>
      <c r="G7" s="120"/>
    </row>
    <row r="8" spans="1:7" ht="18.75">
      <c r="A8" s="863"/>
      <c r="B8" s="117">
        <v>11</v>
      </c>
      <c r="C8" s="158" t="s">
        <v>1646</v>
      </c>
      <c r="D8" s="5" t="s">
        <v>1647</v>
      </c>
      <c r="E8" s="16" t="s">
        <v>1648</v>
      </c>
      <c r="F8" s="164"/>
    </row>
    <row r="9" spans="1:7" ht="18.75">
      <c r="A9" s="864"/>
      <c r="B9" s="117">
        <v>12</v>
      </c>
      <c r="C9" s="158" t="s">
        <v>1651</v>
      </c>
      <c r="D9" s="82" t="s">
        <v>1650</v>
      </c>
      <c r="E9" s="32" t="s">
        <v>1649</v>
      </c>
      <c r="F9" s="164"/>
    </row>
    <row r="10" spans="1:7" ht="18.75">
      <c r="A10" s="865">
        <v>116</v>
      </c>
      <c r="B10" s="117">
        <v>1</v>
      </c>
      <c r="C10" s="158" t="s">
        <v>1654</v>
      </c>
      <c r="D10" s="82" t="s">
        <v>1653</v>
      </c>
      <c r="E10" s="82" t="s">
        <v>1652</v>
      </c>
      <c r="F10" s="164"/>
    </row>
    <row r="11" spans="1:7" ht="18.75">
      <c r="A11" s="863"/>
      <c r="B11" s="117">
        <v>2</v>
      </c>
      <c r="C11" s="158" t="s">
        <v>1655</v>
      </c>
      <c r="D11" s="16" t="s">
        <v>1656</v>
      </c>
      <c r="E11" s="16" t="s">
        <v>1657</v>
      </c>
      <c r="F11" s="164"/>
    </row>
    <row r="12" spans="1:7" ht="18.75">
      <c r="A12" s="863"/>
      <c r="B12" s="117">
        <v>3</v>
      </c>
      <c r="C12" s="158" t="s">
        <v>1661</v>
      </c>
      <c r="D12" s="82" t="s">
        <v>1660</v>
      </c>
      <c r="E12" s="16" t="s">
        <v>1741</v>
      </c>
      <c r="F12" s="160" t="s">
        <v>1664</v>
      </c>
    </row>
    <row r="13" spans="1:7" ht="18.75">
      <c r="A13" s="863"/>
      <c r="B13" s="117">
        <v>4</v>
      </c>
      <c r="C13" s="158" t="s">
        <v>1662</v>
      </c>
      <c r="D13" s="16" t="s">
        <v>1659</v>
      </c>
      <c r="E13" s="82" t="s">
        <v>1658</v>
      </c>
      <c r="F13" s="164"/>
    </row>
    <row r="14" spans="1:7" ht="18.75">
      <c r="A14" s="863"/>
      <c r="B14" s="117">
        <v>5</v>
      </c>
      <c r="C14" s="158" t="s">
        <v>1667</v>
      </c>
      <c r="D14" s="16" t="s">
        <v>1666</v>
      </c>
      <c r="E14" s="31" t="s">
        <v>1663</v>
      </c>
      <c r="F14" s="159" t="s">
        <v>1665</v>
      </c>
    </row>
    <row r="15" spans="1:7" ht="18.75">
      <c r="A15" s="863"/>
      <c r="B15" s="117">
        <v>6</v>
      </c>
      <c r="C15" s="158" t="s">
        <v>1669</v>
      </c>
      <c r="D15" s="82" t="s">
        <v>1671</v>
      </c>
      <c r="E15" s="82" t="s">
        <v>1673</v>
      </c>
      <c r="F15" s="164"/>
    </row>
    <row r="16" spans="1:7" ht="19.5" thickBot="1">
      <c r="A16" s="866"/>
      <c r="B16" s="119">
        <v>7</v>
      </c>
      <c r="C16" s="167" t="s">
        <v>1670</v>
      </c>
      <c r="D16" s="165" t="s">
        <v>1672</v>
      </c>
      <c r="E16" s="165" t="s">
        <v>1668</v>
      </c>
      <c r="F16" s="489" t="s">
        <v>1674</v>
      </c>
    </row>
    <row r="17" spans="3:4">
      <c r="C17" s="114"/>
      <c r="D17" s="114"/>
    </row>
  </sheetData>
  <mergeCells count="6">
    <mergeCell ref="C3:F4"/>
    <mergeCell ref="A3:B3"/>
    <mergeCell ref="A5:A9"/>
    <mergeCell ref="A10:A16"/>
    <mergeCell ref="A1:F1"/>
    <mergeCell ref="A2:F2"/>
  </mergeCells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3"/>
  <sheetViews>
    <sheetView zoomScaleNormal="100" workbookViewId="0">
      <selection activeCell="G15" sqref="G15:J17"/>
    </sheetView>
  </sheetViews>
  <sheetFormatPr defaultRowHeight="16.5"/>
  <cols>
    <col min="1" max="1" width="12" style="651" bestFit="1" customWidth="1"/>
    <col min="2" max="2" width="20" style="646" bestFit="1" customWidth="1"/>
    <col min="3" max="5" width="9.140625" style="646"/>
    <col min="6" max="6" width="25" style="646" customWidth="1"/>
    <col min="7" max="7" width="24.28515625" style="701" customWidth="1"/>
    <col min="8" max="8" width="26.42578125" style="701" customWidth="1"/>
    <col min="9" max="9" width="20" style="646" customWidth="1"/>
    <col min="10" max="10" width="77.42578125" style="646" customWidth="1"/>
    <col min="11" max="11" width="65.7109375" style="645" customWidth="1"/>
    <col min="12" max="16384" width="9.140625" style="646"/>
  </cols>
  <sheetData>
    <row r="1" spans="1:11" ht="19.5" thickBot="1">
      <c r="A1" s="873" t="s">
        <v>1853</v>
      </c>
      <c r="B1" s="874"/>
      <c r="C1" s="874"/>
      <c r="D1" s="874"/>
      <c r="E1" s="874"/>
      <c r="F1" s="874"/>
      <c r="G1" s="874"/>
      <c r="H1" s="874"/>
      <c r="I1" s="874"/>
      <c r="J1" s="875"/>
    </row>
    <row r="2" spans="1:11" s="651" customFormat="1" ht="17.25" thickBot="1">
      <c r="A2" s="876" t="s">
        <v>13</v>
      </c>
      <c r="B2" s="877"/>
      <c r="C2" s="647" t="s">
        <v>1399</v>
      </c>
      <c r="D2" s="647" t="s">
        <v>1400</v>
      </c>
      <c r="E2" s="647" t="s">
        <v>918</v>
      </c>
      <c r="F2" s="647" t="s">
        <v>919</v>
      </c>
      <c r="G2" s="647" t="s">
        <v>1854</v>
      </c>
      <c r="H2" s="647" t="s">
        <v>919</v>
      </c>
      <c r="I2" s="648" t="s">
        <v>918</v>
      </c>
      <c r="J2" s="649" t="s">
        <v>1855</v>
      </c>
      <c r="K2" s="650"/>
    </row>
    <row r="3" spans="1:11" ht="26.25" customHeight="1">
      <c r="A3" s="878" t="s">
        <v>1401</v>
      </c>
      <c r="B3" s="652" t="s">
        <v>1401</v>
      </c>
      <c r="C3" s="881" t="s">
        <v>1402</v>
      </c>
      <c r="D3" s="881">
        <v>702031</v>
      </c>
      <c r="E3" s="881">
        <v>812031</v>
      </c>
      <c r="F3" s="883" t="s">
        <v>1856</v>
      </c>
      <c r="G3" s="885" t="s">
        <v>1857</v>
      </c>
      <c r="H3" s="888" t="s">
        <v>1858</v>
      </c>
      <c r="I3" s="888" t="s">
        <v>1859</v>
      </c>
      <c r="J3" s="890" t="s">
        <v>1860</v>
      </c>
    </row>
    <row r="4" spans="1:11" s="654" customFormat="1" ht="26.25" customHeight="1">
      <c r="A4" s="879"/>
      <c r="B4" s="653" t="s">
        <v>19</v>
      </c>
      <c r="C4" s="882"/>
      <c r="D4" s="882"/>
      <c r="E4" s="882"/>
      <c r="F4" s="884"/>
      <c r="G4" s="886"/>
      <c r="H4" s="882"/>
      <c r="I4" s="882"/>
      <c r="J4" s="891"/>
      <c r="K4" s="645"/>
    </row>
    <row r="5" spans="1:11" ht="26.25" customHeight="1">
      <c r="A5" s="879"/>
      <c r="B5" s="653" t="s">
        <v>20</v>
      </c>
      <c r="C5" s="655" t="s">
        <v>1403</v>
      </c>
      <c r="D5" s="655">
        <v>702084</v>
      </c>
      <c r="E5" s="656">
        <v>812084</v>
      </c>
      <c r="F5" s="656" t="s">
        <v>1861</v>
      </c>
      <c r="G5" s="886"/>
      <c r="H5" s="882"/>
      <c r="I5" s="882"/>
      <c r="J5" s="891"/>
      <c r="K5" s="657"/>
    </row>
    <row r="6" spans="1:11" ht="26.25" customHeight="1">
      <c r="A6" s="879"/>
      <c r="B6" s="658" t="s">
        <v>18</v>
      </c>
      <c r="C6" s="893" t="s">
        <v>1404</v>
      </c>
      <c r="D6" s="882">
        <v>702030</v>
      </c>
      <c r="E6" s="884">
        <v>812030</v>
      </c>
      <c r="F6" s="884" t="s">
        <v>1862</v>
      </c>
      <c r="G6" s="886"/>
      <c r="H6" s="882"/>
      <c r="I6" s="882"/>
      <c r="J6" s="891"/>
      <c r="K6" s="657"/>
    </row>
    <row r="7" spans="1:11" ht="26.25" customHeight="1">
      <c r="A7" s="879"/>
      <c r="B7" s="658" t="s">
        <v>61</v>
      </c>
      <c r="C7" s="882"/>
      <c r="D7" s="882"/>
      <c r="E7" s="884"/>
      <c r="F7" s="884"/>
      <c r="G7" s="886"/>
      <c r="H7" s="882"/>
      <c r="I7" s="882"/>
      <c r="J7" s="891"/>
      <c r="K7" s="657"/>
    </row>
    <row r="8" spans="1:11" ht="26.25" customHeight="1">
      <c r="A8" s="879"/>
      <c r="B8" s="653" t="s">
        <v>39</v>
      </c>
      <c r="C8" s="659" t="s">
        <v>1863</v>
      </c>
      <c r="D8" s="659">
        <v>702029</v>
      </c>
      <c r="E8" s="659">
        <v>812029</v>
      </c>
      <c r="F8" s="659" t="s">
        <v>1864</v>
      </c>
      <c r="G8" s="886"/>
      <c r="H8" s="882"/>
      <c r="I8" s="882"/>
      <c r="J8" s="891"/>
      <c r="K8" s="657"/>
    </row>
    <row r="9" spans="1:11" ht="26.25" customHeight="1">
      <c r="A9" s="879"/>
      <c r="B9" s="658" t="s">
        <v>137</v>
      </c>
      <c r="C9" s="659" t="s">
        <v>1406</v>
      </c>
      <c r="D9" s="659">
        <v>702721</v>
      </c>
      <c r="E9" s="659">
        <v>810185</v>
      </c>
      <c r="F9" s="659" t="s">
        <v>1865</v>
      </c>
      <c r="G9" s="886"/>
      <c r="H9" s="882"/>
      <c r="I9" s="882"/>
      <c r="J9" s="891"/>
      <c r="K9" s="660"/>
    </row>
    <row r="10" spans="1:11" ht="26.25" customHeight="1" thickBot="1">
      <c r="A10" s="880"/>
      <c r="B10" s="661" t="s">
        <v>40</v>
      </c>
      <c r="C10" s="662" t="s">
        <v>1407</v>
      </c>
      <c r="D10" s="662">
        <v>702011</v>
      </c>
      <c r="E10" s="662">
        <v>811977</v>
      </c>
      <c r="F10" s="662" t="s">
        <v>1866</v>
      </c>
      <c r="G10" s="887"/>
      <c r="H10" s="889"/>
      <c r="I10" s="889"/>
      <c r="J10" s="892"/>
      <c r="K10" s="660"/>
    </row>
    <row r="11" spans="1:11" ht="15.75">
      <c r="A11" s="878" t="s">
        <v>1408</v>
      </c>
      <c r="B11" s="663" t="s">
        <v>1409</v>
      </c>
      <c r="C11" s="664" t="s">
        <v>1410</v>
      </c>
      <c r="D11" s="665">
        <v>702086</v>
      </c>
      <c r="E11" s="665">
        <v>812086</v>
      </c>
      <c r="F11" s="665" t="s">
        <v>1867</v>
      </c>
      <c r="G11" s="885" t="s">
        <v>1868</v>
      </c>
      <c r="H11" s="888" t="s">
        <v>1869</v>
      </c>
      <c r="I11" s="881">
        <v>852239</v>
      </c>
      <c r="J11" s="894" t="s">
        <v>1870</v>
      </c>
    </row>
    <row r="12" spans="1:11" thickBot="1">
      <c r="A12" s="879"/>
      <c r="B12" s="666" t="s">
        <v>125</v>
      </c>
      <c r="C12" s="667" t="s">
        <v>1411</v>
      </c>
      <c r="D12" s="668">
        <v>702081</v>
      </c>
      <c r="E12" s="669">
        <v>812081</v>
      </c>
      <c r="F12" s="668" t="s">
        <v>1871</v>
      </c>
      <c r="G12" s="887"/>
      <c r="H12" s="889"/>
      <c r="I12" s="889"/>
      <c r="J12" s="895"/>
    </row>
    <row r="13" spans="1:11" ht="15.75">
      <c r="A13" s="879"/>
      <c r="B13" s="670" t="s">
        <v>24</v>
      </c>
      <c r="C13" s="664" t="s">
        <v>1412</v>
      </c>
      <c r="D13" s="665">
        <v>702083</v>
      </c>
      <c r="E13" s="665">
        <v>812083</v>
      </c>
      <c r="F13" s="665" t="s">
        <v>1872</v>
      </c>
      <c r="G13" s="885" t="s">
        <v>1873</v>
      </c>
      <c r="H13" s="881" t="s">
        <v>1874</v>
      </c>
      <c r="I13" s="881">
        <v>852130</v>
      </c>
      <c r="J13" s="894" t="s">
        <v>1875</v>
      </c>
    </row>
    <row r="14" spans="1:11" thickBot="1">
      <c r="A14" s="879"/>
      <c r="B14" s="671" t="s">
        <v>42</v>
      </c>
      <c r="C14" s="667" t="s">
        <v>1411</v>
      </c>
      <c r="D14" s="668">
        <v>702081</v>
      </c>
      <c r="E14" s="669">
        <v>812081</v>
      </c>
      <c r="F14" s="668" t="s">
        <v>1871</v>
      </c>
      <c r="G14" s="896"/>
      <c r="H14" s="889"/>
      <c r="I14" s="889"/>
      <c r="J14" s="895"/>
    </row>
    <row r="15" spans="1:11" ht="15.75">
      <c r="A15" s="879"/>
      <c r="B15" s="672" t="s">
        <v>62</v>
      </c>
      <c r="C15" s="673" t="s">
        <v>1412</v>
      </c>
      <c r="D15" s="674">
        <v>702083</v>
      </c>
      <c r="E15" s="674">
        <v>812083</v>
      </c>
      <c r="F15" s="674" t="s">
        <v>1872</v>
      </c>
      <c r="G15" s="897" t="s">
        <v>1876</v>
      </c>
      <c r="H15" s="900" t="s">
        <v>1877</v>
      </c>
      <c r="I15" s="900">
        <v>851771</v>
      </c>
      <c r="J15" s="890" t="s">
        <v>1878</v>
      </c>
    </row>
    <row r="16" spans="1:11" ht="15.75">
      <c r="A16" s="879"/>
      <c r="B16" s="658" t="s">
        <v>143</v>
      </c>
      <c r="C16" s="675" t="s">
        <v>1879</v>
      </c>
      <c r="D16" s="659">
        <v>702080</v>
      </c>
      <c r="E16" s="659">
        <v>812080</v>
      </c>
      <c r="F16" s="659" t="s">
        <v>1880</v>
      </c>
      <c r="G16" s="898"/>
      <c r="H16" s="901"/>
      <c r="I16" s="901"/>
      <c r="J16" s="891"/>
    </row>
    <row r="17" spans="1:10" thickBot="1">
      <c r="A17" s="879"/>
      <c r="B17" s="676" t="s">
        <v>94</v>
      </c>
      <c r="C17" s="677" t="s">
        <v>1415</v>
      </c>
      <c r="D17" s="662">
        <v>702591</v>
      </c>
      <c r="E17" s="662">
        <v>812598</v>
      </c>
      <c r="F17" s="662" t="s">
        <v>1881</v>
      </c>
      <c r="G17" s="899"/>
      <c r="H17" s="902"/>
      <c r="I17" s="902"/>
      <c r="J17" s="892"/>
    </row>
    <row r="18" spans="1:10" thickBot="1">
      <c r="A18" s="880"/>
      <c r="B18" s="678" t="s">
        <v>1413</v>
      </c>
      <c r="C18" s="679" t="s">
        <v>1414</v>
      </c>
      <c r="D18" s="680">
        <v>702080</v>
      </c>
      <c r="E18" s="680">
        <v>812080</v>
      </c>
      <c r="F18" s="680" t="s">
        <v>1880</v>
      </c>
      <c r="G18" s="681" t="s">
        <v>1882</v>
      </c>
      <c r="H18" s="682" t="s">
        <v>1883</v>
      </c>
      <c r="I18" s="682">
        <v>852122</v>
      </c>
      <c r="J18" s="683"/>
    </row>
    <row r="19" spans="1:10" ht="15.75">
      <c r="A19" s="878" t="s">
        <v>1417</v>
      </c>
      <c r="B19" s="684" t="s">
        <v>181</v>
      </c>
      <c r="C19" s="685" t="s">
        <v>1418</v>
      </c>
      <c r="D19" s="685">
        <v>702027</v>
      </c>
      <c r="E19" s="686">
        <v>812027</v>
      </c>
      <c r="F19" s="685" t="s">
        <v>1884</v>
      </c>
      <c r="G19" s="687" t="s">
        <v>1885</v>
      </c>
      <c r="H19" s="688" t="s">
        <v>1886</v>
      </c>
      <c r="I19" s="688">
        <v>857611</v>
      </c>
      <c r="J19" s="689"/>
    </row>
    <row r="20" spans="1:10" ht="15.75">
      <c r="A20" s="879"/>
      <c r="B20" s="653" t="s">
        <v>1419</v>
      </c>
      <c r="C20" s="675" t="s">
        <v>1420</v>
      </c>
      <c r="D20" s="659">
        <v>702028</v>
      </c>
      <c r="E20" s="659">
        <v>812028</v>
      </c>
      <c r="F20" s="659" t="s">
        <v>1887</v>
      </c>
      <c r="G20" s="690" t="s">
        <v>1888</v>
      </c>
      <c r="H20" s="655" t="s">
        <v>1889</v>
      </c>
      <c r="I20" s="655">
        <v>850363</v>
      </c>
      <c r="J20" s="691"/>
    </row>
    <row r="21" spans="1:10" ht="15.75">
      <c r="A21" s="879"/>
      <c r="B21" s="658" t="s">
        <v>129</v>
      </c>
      <c r="C21" s="659" t="s">
        <v>1421</v>
      </c>
      <c r="D21" s="659">
        <v>702082</v>
      </c>
      <c r="E21" s="692">
        <v>812087</v>
      </c>
      <c r="F21" s="659" t="s">
        <v>1890</v>
      </c>
      <c r="G21" s="690" t="s">
        <v>1891</v>
      </c>
      <c r="H21" s="655" t="s">
        <v>1891</v>
      </c>
      <c r="I21" s="655" t="s">
        <v>1891</v>
      </c>
      <c r="J21" s="693" t="s">
        <v>1892</v>
      </c>
    </row>
    <row r="22" spans="1:10" ht="15.75">
      <c r="A22" s="879"/>
      <c r="B22" s="653" t="s">
        <v>124</v>
      </c>
      <c r="C22" s="903" t="s">
        <v>1423</v>
      </c>
      <c r="D22" s="893">
        <v>702598</v>
      </c>
      <c r="E22" s="893">
        <v>810238</v>
      </c>
      <c r="F22" s="893" t="s">
        <v>1893</v>
      </c>
      <c r="G22" s="903" t="s">
        <v>1894</v>
      </c>
      <c r="H22" s="893" t="s">
        <v>1895</v>
      </c>
      <c r="I22" s="893" t="s">
        <v>1896</v>
      </c>
      <c r="J22" s="904" t="s">
        <v>1897</v>
      </c>
    </row>
    <row r="23" spans="1:10" ht="15.75">
      <c r="A23" s="879"/>
      <c r="B23" s="653" t="s">
        <v>1898</v>
      </c>
      <c r="C23" s="893"/>
      <c r="D23" s="893"/>
      <c r="E23" s="893"/>
      <c r="F23" s="893"/>
      <c r="G23" s="903"/>
      <c r="H23" s="893"/>
      <c r="I23" s="893"/>
      <c r="J23" s="904"/>
    </row>
    <row r="24" spans="1:10" ht="15.75">
      <c r="A24" s="879"/>
      <c r="B24" s="658" t="s">
        <v>54</v>
      </c>
      <c r="C24" s="675" t="s">
        <v>1424</v>
      </c>
      <c r="D24" s="659">
        <v>702513</v>
      </c>
      <c r="E24" s="692">
        <v>812513</v>
      </c>
      <c r="F24" s="659" t="s">
        <v>1899</v>
      </c>
      <c r="G24" s="690" t="s">
        <v>1900</v>
      </c>
      <c r="H24" s="655" t="s">
        <v>1901</v>
      </c>
      <c r="I24" s="655">
        <v>856958</v>
      </c>
      <c r="J24" s="694"/>
    </row>
    <row r="25" spans="1:10" ht="15.75">
      <c r="A25" s="879"/>
      <c r="B25" s="658" t="s">
        <v>210</v>
      </c>
      <c r="C25" s="659" t="s">
        <v>1425</v>
      </c>
      <c r="D25" s="659">
        <v>702280</v>
      </c>
      <c r="E25" s="659">
        <v>810986</v>
      </c>
      <c r="F25" s="659" t="s">
        <v>1902</v>
      </c>
      <c r="G25" s="690" t="s">
        <v>1903</v>
      </c>
      <c r="H25" s="695" t="s">
        <v>1904</v>
      </c>
      <c r="I25" s="655">
        <v>851613</v>
      </c>
      <c r="J25" s="691"/>
    </row>
    <row r="26" spans="1:10" ht="15.75">
      <c r="A26" s="879"/>
      <c r="B26" s="658" t="s">
        <v>27</v>
      </c>
      <c r="C26" s="659" t="s">
        <v>1426</v>
      </c>
      <c r="D26" s="659">
        <v>702140</v>
      </c>
      <c r="E26" s="659">
        <v>812140</v>
      </c>
      <c r="F26" s="659" t="s">
        <v>1905</v>
      </c>
      <c r="G26" s="690" t="s">
        <v>1906</v>
      </c>
      <c r="H26" s="655" t="s">
        <v>1907</v>
      </c>
      <c r="I26" s="655">
        <v>850676</v>
      </c>
      <c r="J26" s="691"/>
    </row>
    <row r="27" spans="1:10" ht="15.75">
      <c r="A27" s="879"/>
      <c r="B27" s="658" t="s">
        <v>31</v>
      </c>
      <c r="C27" s="675" t="s">
        <v>1427</v>
      </c>
      <c r="D27" s="659">
        <v>702274</v>
      </c>
      <c r="E27" s="659">
        <v>811287</v>
      </c>
      <c r="F27" s="659" t="s">
        <v>1908</v>
      </c>
      <c r="G27" s="690" t="s">
        <v>1909</v>
      </c>
      <c r="H27" s="655" t="s">
        <v>1910</v>
      </c>
      <c r="I27" s="655">
        <v>851640</v>
      </c>
      <c r="J27" s="693"/>
    </row>
    <row r="28" spans="1:10" ht="15.75">
      <c r="A28" s="879"/>
      <c r="B28" s="658" t="s">
        <v>73</v>
      </c>
      <c r="C28" s="675" t="s">
        <v>1428</v>
      </c>
      <c r="D28" s="659">
        <v>702538</v>
      </c>
      <c r="E28" s="659">
        <v>812538</v>
      </c>
      <c r="F28" s="659" t="s">
        <v>1911</v>
      </c>
      <c r="G28" s="690" t="s">
        <v>1912</v>
      </c>
      <c r="H28" s="655" t="s">
        <v>1913</v>
      </c>
      <c r="I28" s="655">
        <v>852329</v>
      </c>
      <c r="J28" s="696"/>
    </row>
    <row r="29" spans="1:10">
      <c r="A29" s="879"/>
      <c r="B29" s="658" t="s">
        <v>33</v>
      </c>
      <c r="C29" s="659" t="s">
        <v>1429</v>
      </c>
      <c r="D29" s="659">
        <v>702121</v>
      </c>
      <c r="E29" s="659">
        <v>812121</v>
      </c>
      <c r="F29" s="659" t="s">
        <v>1914</v>
      </c>
      <c r="G29" s="690" t="s">
        <v>1915</v>
      </c>
      <c r="H29" s="695" t="s">
        <v>1916</v>
      </c>
      <c r="I29" s="655">
        <v>812121</v>
      </c>
      <c r="J29" s="691" t="s">
        <v>1917</v>
      </c>
    </row>
    <row r="30" spans="1:10" ht="15.75">
      <c r="A30" s="879"/>
      <c r="B30" s="658" t="s">
        <v>85</v>
      </c>
      <c r="C30" s="893" t="s">
        <v>1918</v>
      </c>
      <c r="D30" s="893">
        <v>702227</v>
      </c>
      <c r="E30" s="893">
        <v>812227</v>
      </c>
      <c r="F30" s="893" t="s">
        <v>1919</v>
      </c>
      <c r="G30" s="690" t="s">
        <v>1920</v>
      </c>
      <c r="H30" s="655" t="s">
        <v>1921</v>
      </c>
      <c r="I30" s="655">
        <v>857655</v>
      </c>
      <c r="J30" s="691"/>
    </row>
    <row r="31" spans="1:10" ht="15.75">
      <c r="A31" s="879"/>
      <c r="B31" s="658" t="s">
        <v>65</v>
      </c>
      <c r="C31" s="893"/>
      <c r="D31" s="893"/>
      <c r="E31" s="893"/>
      <c r="F31" s="893"/>
      <c r="G31" s="690" t="s">
        <v>1922</v>
      </c>
      <c r="H31" s="655" t="s">
        <v>1923</v>
      </c>
      <c r="I31" s="655">
        <v>852159</v>
      </c>
      <c r="J31" s="691"/>
    </row>
    <row r="32" spans="1:10" ht="15.75">
      <c r="A32" s="879"/>
      <c r="B32" s="658" t="s">
        <v>52</v>
      </c>
      <c r="C32" s="659" t="s">
        <v>1432</v>
      </c>
      <c r="D32" s="659">
        <v>702703</v>
      </c>
      <c r="E32" s="659">
        <v>811961</v>
      </c>
      <c r="F32" s="659" t="s">
        <v>1924</v>
      </c>
      <c r="G32" s="690" t="s">
        <v>1925</v>
      </c>
      <c r="H32" s="655" t="s">
        <v>1926</v>
      </c>
      <c r="I32" s="655">
        <v>857650</v>
      </c>
      <c r="J32" s="691"/>
    </row>
    <row r="33" spans="1:10" thickBot="1">
      <c r="A33" s="880"/>
      <c r="B33" s="697" t="s">
        <v>116</v>
      </c>
      <c r="C33" s="662" t="s">
        <v>1412</v>
      </c>
      <c r="D33" s="662">
        <v>702083</v>
      </c>
      <c r="E33" s="662">
        <v>812083</v>
      </c>
      <c r="F33" s="662" t="s">
        <v>1872</v>
      </c>
      <c r="G33" s="698" t="s">
        <v>1927</v>
      </c>
      <c r="H33" s="698" t="s">
        <v>1928</v>
      </c>
      <c r="I33" s="699">
        <v>851179</v>
      </c>
      <c r="J33" s="700"/>
    </row>
  </sheetData>
  <mergeCells count="41">
    <mergeCell ref="H22:H23"/>
    <mergeCell ref="I22:I23"/>
    <mergeCell ref="J22:J23"/>
    <mergeCell ref="C30:C31"/>
    <mergeCell ref="D30:D31"/>
    <mergeCell ref="E30:E31"/>
    <mergeCell ref="F30:F31"/>
    <mergeCell ref="G22:G23"/>
    <mergeCell ref="A19:A33"/>
    <mergeCell ref="C22:C23"/>
    <mergeCell ref="D22:D23"/>
    <mergeCell ref="E22:E23"/>
    <mergeCell ref="F22:F23"/>
    <mergeCell ref="A11:A18"/>
    <mergeCell ref="G11:G12"/>
    <mergeCell ref="H11:H12"/>
    <mergeCell ref="I11:I12"/>
    <mergeCell ref="J11:J12"/>
    <mergeCell ref="G13:G14"/>
    <mergeCell ref="H13:H14"/>
    <mergeCell ref="I13:I14"/>
    <mergeCell ref="J13:J14"/>
    <mergeCell ref="G15:G17"/>
    <mergeCell ref="H15:H17"/>
    <mergeCell ref="I15:I17"/>
    <mergeCell ref="J15:J17"/>
    <mergeCell ref="A1:J1"/>
    <mergeCell ref="A2:B2"/>
    <mergeCell ref="A3:A10"/>
    <mergeCell ref="C3:C4"/>
    <mergeCell ref="D3:D4"/>
    <mergeCell ref="E3:E4"/>
    <mergeCell ref="F3:F4"/>
    <mergeCell ref="G3:G10"/>
    <mergeCell ref="H3:H10"/>
    <mergeCell ref="I3:I10"/>
    <mergeCell ref="J3:J10"/>
    <mergeCell ref="C6:C7"/>
    <mergeCell ref="D6:D7"/>
    <mergeCell ref="E6:E7"/>
    <mergeCell ref="F6:F7"/>
  </mergeCells>
  <phoneticPr fontId="5" type="noConversion"/>
  <pageMargins left="0.7" right="0.7" top="0.75" bottom="0.75" header="0.3" footer="0.3"/>
  <pageSetup paperSize="9" scale="39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E22" sqref="E22"/>
    </sheetView>
  </sheetViews>
  <sheetFormatPr defaultColWidth="10.28515625" defaultRowHeight="16.5"/>
  <cols>
    <col min="1" max="1" width="12" style="122" bestFit="1" customWidth="1"/>
    <col min="2" max="2" width="35.5703125" style="122" bestFit="1" customWidth="1"/>
    <col min="3" max="4" width="10.28515625" style="122"/>
    <col min="5" max="5" width="10.85546875" style="122" bestFit="1" customWidth="1"/>
    <col min="6" max="6" width="15.85546875" style="122" bestFit="1" customWidth="1"/>
    <col min="7" max="16384" width="10.28515625" style="122"/>
  </cols>
  <sheetData>
    <row r="1" spans="1:5">
      <c r="A1" s="905" t="s">
        <v>1398</v>
      </c>
      <c r="B1" s="906"/>
      <c r="C1" s="906"/>
      <c r="D1" s="906"/>
      <c r="E1" s="907"/>
    </row>
    <row r="2" spans="1:5" ht="17.25" thickBot="1">
      <c r="A2" s="908" t="s">
        <v>13</v>
      </c>
      <c r="B2" s="909"/>
      <c r="C2" s="126" t="s">
        <v>1399</v>
      </c>
      <c r="D2" s="126" t="s">
        <v>1400</v>
      </c>
      <c r="E2" s="127" t="s">
        <v>918</v>
      </c>
    </row>
    <row r="3" spans="1:5">
      <c r="A3" s="910" t="s">
        <v>1401</v>
      </c>
      <c r="B3" s="128" t="s">
        <v>1401</v>
      </c>
      <c r="C3" s="913" t="s">
        <v>1402</v>
      </c>
      <c r="D3" s="913">
        <v>702031</v>
      </c>
      <c r="E3" s="915">
        <v>812031</v>
      </c>
    </row>
    <row r="4" spans="1:5">
      <c r="A4" s="911"/>
      <c r="B4" s="116" t="s">
        <v>19</v>
      </c>
      <c r="C4" s="914"/>
      <c r="D4" s="914"/>
      <c r="E4" s="916"/>
    </row>
    <row r="5" spans="1:5">
      <c r="A5" s="911"/>
      <c r="B5" s="116" t="s">
        <v>20</v>
      </c>
      <c r="C5" s="116" t="s">
        <v>1403</v>
      </c>
      <c r="D5" s="116">
        <v>702084</v>
      </c>
      <c r="E5" s="129">
        <v>812084</v>
      </c>
    </row>
    <row r="6" spans="1:5">
      <c r="A6" s="911"/>
      <c r="B6" s="130" t="s">
        <v>18</v>
      </c>
      <c r="C6" s="917" t="s">
        <v>1404</v>
      </c>
      <c r="D6" s="914">
        <v>702030</v>
      </c>
      <c r="E6" s="916">
        <v>812030</v>
      </c>
    </row>
    <row r="7" spans="1:5">
      <c r="A7" s="911"/>
      <c r="B7" s="130" t="s">
        <v>61</v>
      </c>
      <c r="C7" s="914"/>
      <c r="D7" s="914"/>
      <c r="E7" s="916"/>
    </row>
    <row r="8" spans="1:5">
      <c r="A8" s="911"/>
      <c r="B8" s="126" t="s">
        <v>39</v>
      </c>
      <c r="C8" s="131" t="s">
        <v>1405</v>
      </c>
      <c r="D8" s="131">
        <v>702029</v>
      </c>
      <c r="E8" s="132">
        <v>812029</v>
      </c>
    </row>
    <row r="9" spans="1:5">
      <c r="A9" s="911"/>
      <c r="B9" s="130" t="s">
        <v>137</v>
      </c>
      <c r="C9" s="133" t="s">
        <v>1406</v>
      </c>
      <c r="D9" s="133">
        <v>702721</v>
      </c>
      <c r="E9" s="134">
        <v>810238</v>
      </c>
    </row>
    <row r="10" spans="1:5" ht="17.25" thickBot="1">
      <c r="A10" s="912"/>
      <c r="B10" s="135" t="s">
        <v>40</v>
      </c>
      <c r="C10" s="135" t="s">
        <v>1407</v>
      </c>
      <c r="D10" s="136">
        <v>702011</v>
      </c>
      <c r="E10" s="137">
        <v>811977</v>
      </c>
    </row>
    <row r="11" spans="1:5">
      <c r="A11" s="911" t="s">
        <v>1408</v>
      </c>
      <c r="B11" s="138" t="s">
        <v>1409</v>
      </c>
      <c r="C11" s="139" t="s">
        <v>1410</v>
      </c>
      <c r="D11" s="139">
        <v>702086</v>
      </c>
      <c r="E11" s="140">
        <v>812086</v>
      </c>
    </row>
    <row r="12" spans="1:5">
      <c r="A12" s="911"/>
      <c r="B12" s="141" t="s">
        <v>125</v>
      </c>
      <c r="C12" s="918" t="s">
        <v>1411</v>
      </c>
      <c r="D12" s="918">
        <v>702081</v>
      </c>
      <c r="E12" s="920">
        <v>812081</v>
      </c>
    </row>
    <row r="13" spans="1:5">
      <c r="A13" s="911"/>
      <c r="B13" s="141" t="s">
        <v>42</v>
      </c>
      <c r="C13" s="919"/>
      <c r="D13" s="919"/>
      <c r="E13" s="921"/>
    </row>
    <row r="14" spans="1:5">
      <c r="A14" s="911"/>
      <c r="B14" s="141" t="s">
        <v>24</v>
      </c>
      <c r="C14" s="917" t="s">
        <v>1412</v>
      </c>
      <c r="D14" s="917">
        <v>702083</v>
      </c>
      <c r="E14" s="922">
        <v>812083</v>
      </c>
    </row>
    <row r="15" spans="1:5">
      <c r="A15" s="911"/>
      <c r="B15" s="141" t="s">
        <v>62</v>
      </c>
      <c r="C15" s="917"/>
      <c r="D15" s="917"/>
      <c r="E15" s="922"/>
    </row>
    <row r="16" spans="1:5">
      <c r="A16" s="911"/>
      <c r="B16" s="130" t="s">
        <v>1413</v>
      </c>
      <c r="C16" s="917" t="s">
        <v>1414</v>
      </c>
      <c r="D16" s="917">
        <v>702080</v>
      </c>
      <c r="E16" s="922">
        <v>812080</v>
      </c>
    </row>
    <row r="17" spans="1:6">
      <c r="A17" s="911"/>
      <c r="B17" s="130" t="s">
        <v>143</v>
      </c>
      <c r="C17" s="917"/>
      <c r="D17" s="917"/>
      <c r="E17" s="922"/>
    </row>
    <row r="18" spans="1:6" ht="17.25" thickBot="1">
      <c r="A18" s="911"/>
      <c r="B18" s="142" t="s">
        <v>94</v>
      </c>
      <c r="C18" s="131" t="s">
        <v>1415</v>
      </c>
      <c r="D18" s="131">
        <v>702591</v>
      </c>
      <c r="E18" s="132">
        <v>812598</v>
      </c>
      <c r="F18" s="118" t="s">
        <v>1416</v>
      </c>
    </row>
    <row r="19" spans="1:6">
      <c r="A19" s="910" t="s">
        <v>1417</v>
      </c>
      <c r="B19" s="143" t="s">
        <v>181</v>
      </c>
      <c r="C19" s="144" t="s">
        <v>1418</v>
      </c>
      <c r="D19" s="144">
        <v>702027</v>
      </c>
      <c r="E19" s="145">
        <v>812027</v>
      </c>
    </row>
    <row r="20" spans="1:6">
      <c r="A20" s="911"/>
      <c r="B20" s="130" t="s">
        <v>1419</v>
      </c>
      <c r="C20" s="133" t="s">
        <v>1420</v>
      </c>
      <c r="D20" s="133">
        <v>702028</v>
      </c>
      <c r="E20" s="134">
        <v>812028</v>
      </c>
    </row>
    <row r="21" spans="1:6">
      <c r="A21" s="911"/>
      <c r="B21" s="130" t="s">
        <v>129</v>
      </c>
      <c r="C21" s="133" t="s">
        <v>1421</v>
      </c>
      <c r="D21" s="133">
        <v>702082</v>
      </c>
      <c r="E21" s="134">
        <v>812087</v>
      </c>
    </row>
    <row r="22" spans="1:6">
      <c r="A22" s="911"/>
      <c r="B22" s="116" t="s">
        <v>1422</v>
      </c>
      <c r="C22" s="133" t="s">
        <v>1423</v>
      </c>
      <c r="D22" s="133">
        <v>702598</v>
      </c>
      <c r="E22" s="134">
        <v>810238</v>
      </c>
    </row>
    <row r="23" spans="1:6">
      <c r="A23" s="911"/>
      <c r="B23" s="130" t="s">
        <v>54</v>
      </c>
      <c r="C23" s="133" t="s">
        <v>1424</v>
      </c>
      <c r="D23" s="133">
        <v>702513</v>
      </c>
      <c r="E23" s="134">
        <v>812513</v>
      </c>
    </row>
    <row r="24" spans="1:6">
      <c r="A24" s="911"/>
      <c r="B24" s="130" t="s">
        <v>210</v>
      </c>
      <c r="C24" s="133" t="s">
        <v>1425</v>
      </c>
      <c r="D24" s="133">
        <v>702280</v>
      </c>
      <c r="E24" s="134">
        <v>810986</v>
      </c>
    </row>
    <row r="25" spans="1:6">
      <c r="A25" s="911"/>
      <c r="B25" s="130" t="s">
        <v>27</v>
      </c>
      <c r="C25" s="133" t="s">
        <v>1426</v>
      </c>
      <c r="D25" s="133">
        <v>702140</v>
      </c>
      <c r="E25" s="134">
        <v>812140</v>
      </c>
    </row>
    <row r="26" spans="1:6">
      <c r="A26" s="911"/>
      <c r="B26" s="130" t="s">
        <v>31</v>
      </c>
      <c r="C26" s="133" t="s">
        <v>1427</v>
      </c>
      <c r="D26" s="133">
        <v>702274</v>
      </c>
      <c r="E26" s="134">
        <v>811287</v>
      </c>
    </row>
    <row r="27" spans="1:6">
      <c r="A27" s="911"/>
      <c r="B27" s="130" t="s">
        <v>73</v>
      </c>
      <c r="C27" s="133" t="s">
        <v>1428</v>
      </c>
      <c r="D27" s="133">
        <v>702538</v>
      </c>
      <c r="E27" s="134">
        <v>812538</v>
      </c>
    </row>
    <row r="28" spans="1:6">
      <c r="A28" s="911"/>
      <c r="B28" s="130" t="s">
        <v>33</v>
      </c>
      <c r="C28" s="133" t="s">
        <v>1429</v>
      </c>
      <c r="D28" s="133">
        <v>702121</v>
      </c>
      <c r="E28" s="134">
        <v>812121</v>
      </c>
    </row>
    <row r="29" spans="1:6">
      <c r="A29" s="911"/>
      <c r="B29" s="130" t="s">
        <v>1430</v>
      </c>
      <c r="C29" s="133" t="s">
        <v>1431</v>
      </c>
      <c r="D29" s="133">
        <v>702227</v>
      </c>
      <c r="E29" s="134">
        <v>812227</v>
      </c>
    </row>
    <row r="30" spans="1:6">
      <c r="A30" s="911"/>
      <c r="B30" s="130" t="s">
        <v>52</v>
      </c>
      <c r="C30" s="133" t="s">
        <v>1432</v>
      </c>
      <c r="D30" s="133">
        <v>702703</v>
      </c>
      <c r="E30" s="134">
        <v>811961</v>
      </c>
    </row>
    <row r="31" spans="1:6" ht="17.25" thickBot="1">
      <c r="A31" s="912"/>
      <c r="B31" s="146" t="s">
        <v>116</v>
      </c>
      <c r="C31" s="136" t="s">
        <v>1433</v>
      </c>
      <c r="D31" s="136">
        <v>702083</v>
      </c>
      <c r="E31" s="137">
        <v>812083</v>
      </c>
    </row>
  </sheetData>
  <mergeCells count="20">
    <mergeCell ref="A19:A31"/>
    <mergeCell ref="A11:A18"/>
    <mergeCell ref="C12:C13"/>
    <mergeCell ref="D12:D13"/>
    <mergeCell ref="E12:E13"/>
    <mergeCell ref="C14:C15"/>
    <mergeCell ref="D14:D15"/>
    <mergeCell ref="E14:E15"/>
    <mergeCell ref="C16:C17"/>
    <mergeCell ref="D16:D17"/>
    <mergeCell ref="E16:E17"/>
    <mergeCell ref="A1:E1"/>
    <mergeCell ref="A2:B2"/>
    <mergeCell ref="A3:A10"/>
    <mergeCell ref="C3:C4"/>
    <mergeCell ref="D3:D4"/>
    <mergeCell ref="E3:E4"/>
    <mergeCell ref="C6:C7"/>
    <mergeCell ref="D6:D7"/>
    <mergeCell ref="E6:E7"/>
  </mergeCells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zoomScaleNormal="100" workbookViewId="0">
      <selection activeCell="D13" sqref="D13"/>
    </sheetView>
  </sheetViews>
  <sheetFormatPr defaultColWidth="10.28515625" defaultRowHeight="15.75"/>
  <cols>
    <col min="1" max="1" width="59" style="118" bestFit="1" customWidth="1"/>
    <col min="2" max="2" width="26.28515625" style="118" bestFit="1" customWidth="1"/>
    <col min="3" max="3" width="34.28515625" style="118" customWidth="1"/>
    <col min="4" max="4" width="98.140625" style="118" customWidth="1"/>
    <col min="5" max="6" width="10.28515625" style="118"/>
    <col min="7" max="7" width="0" style="118" hidden="1" customWidth="1"/>
    <col min="8" max="8" width="21.85546875" style="118" hidden="1" customWidth="1"/>
    <col min="9" max="9" width="31" style="118" hidden="1" customWidth="1"/>
    <col min="10" max="16384" width="10.28515625" style="118"/>
  </cols>
  <sheetData>
    <row r="1" spans="1:9" ht="16.5">
      <c r="G1" s="147" t="s">
        <v>1477</v>
      </c>
      <c r="H1" s="147" t="s">
        <v>1478</v>
      </c>
      <c r="I1" s="147" t="s">
        <v>1479</v>
      </c>
    </row>
    <row r="2" spans="1:9" ht="16.5">
      <c r="A2" s="914" t="s">
        <v>1480</v>
      </c>
      <c r="B2" s="914"/>
      <c r="C2" s="914"/>
      <c r="D2" s="914"/>
      <c r="G2" s="924" t="s">
        <v>1481</v>
      </c>
      <c r="H2" s="148" t="s">
        <v>1435</v>
      </c>
      <c r="I2" s="149" t="s">
        <v>1436</v>
      </c>
    </row>
    <row r="3" spans="1:9" ht="16.5">
      <c r="A3" s="150" t="s">
        <v>1482</v>
      </c>
      <c r="B3" s="150" t="s">
        <v>1483</v>
      </c>
      <c r="C3" s="151" t="s">
        <v>1484</v>
      </c>
      <c r="D3" s="152" t="s">
        <v>1434</v>
      </c>
      <c r="G3" s="924"/>
      <c r="H3" s="147" t="s">
        <v>1438</v>
      </c>
      <c r="I3" s="149" t="s">
        <v>1439</v>
      </c>
    </row>
    <row r="4" spans="1:9" ht="16.5">
      <c r="A4" s="923" t="s">
        <v>1485</v>
      </c>
      <c r="B4" s="153" t="s">
        <v>1486</v>
      </c>
      <c r="C4" s="154" t="s">
        <v>1436</v>
      </c>
      <c r="D4" s="121" t="s">
        <v>1437</v>
      </c>
      <c r="G4" s="924"/>
      <c r="H4" s="148" t="s">
        <v>1441</v>
      </c>
      <c r="I4" s="149" t="s">
        <v>1442</v>
      </c>
    </row>
    <row r="5" spans="1:9" ht="16.5">
      <c r="A5" s="923"/>
      <c r="B5" s="155" t="s">
        <v>1487</v>
      </c>
      <c r="C5" s="154" t="s">
        <v>1439</v>
      </c>
      <c r="D5" s="121" t="s">
        <v>1440</v>
      </c>
      <c r="G5" s="924"/>
      <c r="H5" s="148" t="s">
        <v>1444</v>
      </c>
      <c r="I5" s="149" t="s">
        <v>1445</v>
      </c>
    </row>
    <row r="6" spans="1:9" ht="32.25">
      <c r="A6" s="923"/>
      <c r="B6" s="153" t="s">
        <v>1488</v>
      </c>
      <c r="C6" s="154" t="s">
        <v>1442</v>
      </c>
      <c r="D6" s="121" t="s">
        <v>1443</v>
      </c>
      <c r="G6" s="147" t="s">
        <v>1489</v>
      </c>
      <c r="H6" s="147" t="s">
        <v>1490</v>
      </c>
      <c r="I6" s="149" t="s">
        <v>1447</v>
      </c>
    </row>
    <row r="7" spans="1:9" ht="33">
      <c r="A7" s="923"/>
      <c r="B7" s="153" t="s">
        <v>1491</v>
      </c>
      <c r="C7" s="154" t="s">
        <v>1445</v>
      </c>
      <c r="D7" s="121" t="s">
        <v>1446</v>
      </c>
      <c r="G7" s="924" t="s">
        <v>1492</v>
      </c>
      <c r="H7" s="148" t="s">
        <v>1449</v>
      </c>
      <c r="I7" s="149" t="s">
        <v>1450</v>
      </c>
    </row>
    <row r="8" spans="1:9" ht="31.5">
      <c r="A8" s="153" t="s">
        <v>1493</v>
      </c>
      <c r="B8" s="153" t="s">
        <v>1494</v>
      </c>
      <c r="C8" s="154" t="s">
        <v>1495</v>
      </c>
      <c r="D8" s="121" t="s">
        <v>1448</v>
      </c>
      <c r="G8" s="924"/>
      <c r="H8" s="148" t="s">
        <v>1496</v>
      </c>
      <c r="I8" s="149" t="s">
        <v>1497</v>
      </c>
    </row>
    <row r="9" spans="1:9" ht="31.5">
      <c r="A9" s="923" t="s">
        <v>1498</v>
      </c>
      <c r="B9" s="153" t="s">
        <v>1499</v>
      </c>
      <c r="C9" s="154" t="s">
        <v>1450</v>
      </c>
      <c r="D9" s="121" t="s">
        <v>1500</v>
      </c>
      <c r="G9" s="147" t="s">
        <v>1501</v>
      </c>
      <c r="H9" s="148" t="s">
        <v>1451</v>
      </c>
      <c r="I9" s="149" t="s">
        <v>1452</v>
      </c>
    </row>
    <row r="10" spans="1:9" ht="16.5">
      <c r="A10" s="923"/>
      <c r="B10" s="153" t="s">
        <v>1502</v>
      </c>
      <c r="C10" s="154" t="s">
        <v>1497</v>
      </c>
      <c r="D10" s="121" t="s">
        <v>1847</v>
      </c>
      <c r="G10" s="147" t="s">
        <v>1503</v>
      </c>
      <c r="H10" s="148" t="s">
        <v>1453</v>
      </c>
      <c r="I10" s="149" t="s">
        <v>1454</v>
      </c>
    </row>
    <row r="11" spans="1:9" ht="16.5">
      <c r="A11" s="153" t="s">
        <v>1504</v>
      </c>
      <c r="B11" s="153" t="s">
        <v>1505</v>
      </c>
      <c r="C11" s="154" t="s">
        <v>1452</v>
      </c>
      <c r="D11" s="121" t="s">
        <v>1506</v>
      </c>
      <c r="G11" s="147" t="s">
        <v>1507</v>
      </c>
      <c r="H11" s="148" t="s">
        <v>1455</v>
      </c>
      <c r="I11" s="149" t="s">
        <v>1456</v>
      </c>
    </row>
    <row r="12" spans="1:9" ht="16.5" customHeight="1">
      <c r="A12" s="153" t="s">
        <v>1508</v>
      </c>
      <c r="B12" s="153" t="s">
        <v>1509</v>
      </c>
      <c r="C12" s="154" t="s">
        <v>1454</v>
      </c>
      <c r="D12" s="121" t="s">
        <v>1510</v>
      </c>
      <c r="G12" s="147" t="s">
        <v>1511</v>
      </c>
      <c r="H12" s="148" t="s">
        <v>1458</v>
      </c>
      <c r="I12" s="149" t="s">
        <v>1459</v>
      </c>
    </row>
    <row r="13" spans="1:9" ht="16.5">
      <c r="A13" s="153" t="s">
        <v>1512</v>
      </c>
      <c r="B13" s="153" t="s">
        <v>1851</v>
      </c>
      <c r="C13" s="154" t="s">
        <v>1850</v>
      </c>
      <c r="D13" s="121" t="s">
        <v>1849</v>
      </c>
      <c r="E13" s="118" t="s">
        <v>1457</v>
      </c>
      <c r="G13" s="147" t="s">
        <v>1513</v>
      </c>
      <c r="H13" s="147" t="s">
        <v>1460</v>
      </c>
      <c r="I13" s="147" t="s">
        <v>1461</v>
      </c>
    </row>
    <row r="14" spans="1:9" ht="16.5">
      <c r="A14" s="153" t="s">
        <v>1514</v>
      </c>
      <c r="B14" s="153" t="s">
        <v>1515</v>
      </c>
      <c r="C14" s="154" t="s">
        <v>1459</v>
      </c>
      <c r="D14" s="121" t="s">
        <v>1516</v>
      </c>
      <c r="G14" s="147" t="s">
        <v>1517</v>
      </c>
      <c r="H14" s="148" t="s">
        <v>1463</v>
      </c>
      <c r="I14" s="149" t="s">
        <v>1464</v>
      </c>
    </row>
    <row r="15" spans="1:9" ht="16.5">
      <c r="A15" s="153" t="s">
        <v>1518</v>
      </c>
      <c r="B15" s="121" t="s">
        <v>1519</v>
      </c>
      <c r="C15" s="121" t="s">
        <v>1520</v>
      </c>
      <c r="D15" s="121" t="s">
        <v>1462</v>
      </c>
      <c r="G15" s="924" t="s">
        <v>1521</v>
      </c>
      <c r="H15" s="148" t="s">
        <v>1522</v>
      </c>
      <c r="I15" s="149" t="s">
        <v>1523</v>
      </c>
    </row>
    <row r="16" spans="1:9" ht="16.5">
      <c r="A16" s="153" t="s">
        <v>1524</v>
      </c>
      <c r="B16" s="153" t="s">
        <v>1525</v>
      </c>
      <c r="C16" s="154" t="s">
        <v>1464</v>
      </c>
      <c r="D16" s="121" t="s">
        <v>1465</v>
      </c>
      <c r="G16" s="924"/>
      <c r="H16" s="148" t="s">
        <v>1466</v>
      </c>
      <c r="I16" s="149" t="s">
        <v>1467</v>
      </c>
    </row>
    <row r="17" spans="1:9" ht="16.5">
      <c r="A17" s="923" t="s">
        <v>1526</v>
      </c>
      <c r="B17" s="153" t="s">
        <v>1527</v>
      </c>
      <c r="C17" s="154" t="s">
        <v>1528</v>
      </c>
      <c r="D17" s="121" t="s">
        <v>1529</v>
      </c>
      <c r="G17" s="147" t="s">
        <v>1530</v>
      </c>
      <c r="H17" s="148" t="s">
        <v>1469</v>
      </c>
      <c r="I17" s="149" t="s">
        <v>1470</v>
      </c>
    </row>
    <row r="18" spans="1:9" ht="16.5">
      <c r="A18" s="923"/>
      <c r="B18" s="153" t="s">
        <v>1531</v>
      </c>
      <c r="C18" s="154" t="s">
        <v>1532</v>
      </c>
      <c r="D18" s="121" t="s">
        <v>1468</v>
      </c>
      <c r="G18" s="147" t="s">
        <v>1533</v>
      </c>
      <c r="H18" s="148" t="s">
        <v>1472</v>
      </c>
      <c r="I18" s="149" t="s">
        <v>1473</v>
      </c>
    </row>
    <row r="19" spans="1:9" ht="16.5">
      <c r="A19" s="153" t="s">
        <v>1534</v>
      </c>
      <c r="B19" s="153" t="s">
        <v>1535</v>
      </c>
      <c r="C19" s="154" t="s">
        <v>1470</v>
      </c>
      <c r="D19" s="121" t="s">
        <v>1471</v>
      </c>
      <c r="G19" s="147" t="s">
        <v>1536</v>
      </c>
      <c r="H19" s="168" t="s">
        <v>1681</v>
      </c>
      <c r="I19" s="149" t="s">
        <v>1537</v>
      </c>
    </row>
    <row r="20" spans="1:9" ht="16.5">
      <c r="A20" s="153" t="s">
        <v>1538</v>
      </c>
      <c r="B20" s="153" t="s">
        <v>1539</v>
      </c>
      <c r="C20" s="154" t="s">
        <v>1473</v>
      </c>
      <c r="D20" s="121" t="s">
        <v>1474</v>
      </c>
      <c r="G20" s="147" t="s">
        <v>1540</v>
      </c>
      <c r="H20" s="147" t="s">
        <v>1541</v>
      </c>
      <c r="I20" s="147" t="s">
        <v>1542</v>
      </c>
    </row>
    <row r="21" spans="1:9">
      <c r="A21" s="153" t="s">
        <v>1543</v>
      </c>
      <c r="B21" s="620" t="s">
        <v>1681</v>
      </c>
      <c r="C21" s="620" t="s">
        <v>1682</v>
      </c>
      <c r="D21" s="121" t="s">
        <v>1848</v>
      </c>
    </row>
    <row r="22" spans="1:9" ht="63">
      <c r="A22" s="923" t="s">
        <v>1544</v>
      </c>
      <c r="B22" s="153" t="s">
        <v>1545</v>
      </c>
      <c r="C22" s="153" t="s">
        <v>1546</v>
      </c>
      <c r="D22" s="156" t="s">
        <v>1547</v>
      </c>
    </row>
    <row r="23" spans="1:9">
      <c r="A23" s="923"/>
      <c r="B23" s="153" t="s">
        <v>1548</v>
      </c>
      <c r="C23" s="154" t="s">
        <v>1549</v>
      </c>
      <c r="D23" s="121" t="s">
        <v>1475</v>
      </c>
    </row>
    <row r="24" spans="1:9">
      <c r="A24" s="923"/>
      <c r="B24" s="153" t="s">
        <v>1550</v>
      </c>
      <c r="C24" s="154" t="s">
        <v>1551</v>
      </c>
      <c r="D24" s="121" t="s">
        <v>1476</v>
      </c>
    </row>
    <row r="69" spans="2:2">
      <c r="B69" s="118" t="s">
        <v>1552</v>
      </c>
    </row>
  </sheetData>
  <mergeCells count="8">
    <mergeCell ref="A17:A18"/>
    <mergeCell ref="A22:A24"/>
    <mergeCell ref="A2:D2"/>
    <mergeCell ref="G2:G5"/>
    <mergeCell ref="A4:A7"/>
    <mergeCell ref="G7:G8"/>
    <mergeCell ref="A9:A10"/>
    <mergeCell ref="G15:G16"/>
  </mergeCells>
  <phoneticPr fontId="5" type="noConversion"/>
  <hyperlinks>
    <hyperlink ref="D11" r:id="rId1"/>
    <hyperlink ref="D13" r:id="rId2"/>
    <hyperlink ref="D9" r:id="rId3"/>
    <hyperlink ref="D12" r:id="rId4"/>
    <hyperlink ref="D14" r:id="rId5"/>
    <hyperlink ref="D10" r:id="rId6" display="mailto:A6513@tpech.gov.tw"/>
    <hyperlink ref="D21" r:id="rId7" display="mailto:yj0913@cgmh.org.tw"/>
    <hyperlink ref="D19" r:id="rId8"/>
    <hyperlink ref="D15" r:id="rId9"/>
  </hyperlinks>
  <pageMargins left="0.70866141732283472" right="0.70866141732283472" top="0.74803149606299213" bottom="0.74803149606299213" header="0.31496062992125984" footer="0.31496062992125984"/>
  <pageSetup paperSize="9" scale="75" orientation="landscape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已命名的範圍</vt:lpstr>
      </vt:variant>
      <vt:variant>
        <vt:i4>3</vt:i4>
      </vt:variant>
    </vt:vector>
  </HeadingPairs>
  <TitlesOfParts>
    <vt:vector size="15" baseType="lpstr">
      <vt:lpstr>基本資料</vt:lpstr>
      <vt:lpstr>學員聯絡資訊</vt:lpstr>
      <vt:lpstr>115班表(全)</vt:lpstr>
      <vt:lpstr>學員-學程</vt:lpstr>
      <vt:lpstr>內科 </vt:lpstr>
      <vt:lpstr>外科</vt:lpstr>
      <vt:lpstr>婦兒急</vt:lpstr>
      <vt:lpstr>選修科</vt:lpstr>
      <vt:lpstr>PGY2老醫</vt:lpstr>
      <vt:lpstr>11508預班聯繫方式</vt:lpstr>
      <vt:lpstr>各醫療科助理聯絡資訊</vt:lpstr>
      <vt:lpstr>各社區聯絡人資訊</vt:lpstr>
      <vt:lpstr>'內科 '!Print_Area</vt:lpstr>
      <vt:lpstr>外科!Print_Area</vt:lpstr>
      <vt:lpstr>'學員-學程'!Print_Area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2026-07-08T08:30:45Z</dcterms:modified>
</cp:coreProperties>
</file>